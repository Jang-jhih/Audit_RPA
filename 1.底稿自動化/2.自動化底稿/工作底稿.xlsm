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https://pxpayplus2222-my.sharepoint.com/personal/jacob_wang_pxpayplus_com/Documents/Audit_RPA/1.底稿自動化/2.自動化底稿/"/>
    </mc:Choice>
  </mc:AlternateContent>
  <xr:revisionPtr revIDLastSave="4056" documentId="13_ncr:1_{BF3C920B-F412-43BC-863F-3FC5734CF8C7}" xr6:coauthVersionLast="47" xr6:coauthVersionMax="47" xr10:uidLastSave="{9632A8D7-C88C-46E9-9889-F08136143CDB}"/>
  <bookViews>
    <workbookView xWindow="-108" yWindow="-108" windowWidth="23256" windowHeight="12456" xr2:uid="{863396A8-CC95-4158-B08E-7FCF27C09CF2}"/>
  </bookViews>
  <sheets>
    <sheet name="Variable" sheetId="3" r:id="rId1"/>
    <sheet name="Temporary" sheetId="8" state="hidden" r:id="rId2"/>
    <sheet name="Temporary2" sheetId="9" state="hidden" r:id="rId3"/>
    <sheet name="報告藍本" sheetId="13" r:id="rId4"/>
    <sheet name="調閱清單" sheetId="4" r:id="rId5"/>
    <sheet name="工作底稿" sheetId="1" r:id="rId6"/>
    <sheet name="查核稽核報告" sheetId="2" r:id="rId7"/>
  </sheets>
  <definedNames>
    <definedName name="_Hlk109226883" localSheetId="5">工作底稿!#REF!</definedName>
    <definedName name="_Hlk48225127" localSheetId="6">查核稽核報告!#REF!</definedName>
    <definedName name="_Hlk54021806" localSheetId="4">調閱清單!#REF!</definedName>
    <definedName name="_xlnm.Print_Area" localSheetId="5">工作底稿!$A$1:$G$14</definedName>
    <definedName name="_xlnm.Print_Area" localSheetId="6">查核稽核報告!$A$1:$E$35</definedName>
    <definedName name="_xlnm.Print_Area" localSheetId="4">調閱清單!$A$1:$C$7</definedName>
    <definedName name="外部資料_1" localSheetId="1" hidden="1">Temporary!$F$4:$I$12</definedName>
    <definedName name="外部資料_1" localSheetId="0" hidden="1">Variable!#REF!</definedName>
    <definedName name="外部資料_2" localSheetId="1" hidden="1">Temporary!$K$4:$K$8</definedName>
  </definedNames>
  <calcPr calcId="191028"/>
  <pivotCaches>
    <pivotCache cacheId="0" r:id="rId8"/>
  </pivotCaches>
  <fileRecoveryPr repairLoad="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查核作業_c555e2ef-e923-45d9-81e4-6f7bcd772d67" name="查核作業" connection="查詢 - 查核作業"/>
          <x15:modelTable id="作業清單_da66ae9e-522f-4e4d-824d-27041d495a34" name="作業清單" connection="查詢 - 作業清單"/>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C4" i="13"/>
  <c r="C5" i="13"/>
  <c r="C6" i="13"/>
  <c r="C7" i="13"/>
  <c r="C8" i="13"/>
  <c r="C9" i="13"/>
  <c r="D6" i="3"/>
  <c r="Q3" i="13"/>
  <c r="Q4" i="13"/>
  <c r="Q5" i="13"/>
  <c r="Q6" i="13"/>
  <c r="Q7" i="13"/>
  <c r="Q8" i="13"/>
  <c r="Q9" i="13"/>
  <c r="Q10" i="13"/>
  <c r="Q11" i="13"/>
  <c r="Q12" i="13"/>
  <c r="Q13" i="13"/>
  <c r="Q14" i="13"/>
  <c r="Q15" i="13"/>
  <c r="Q16" i="13"/>
  <c r="Q17" i="13"/>
  <c r="Q2" i="13"/>
  <c r="F5" i="1" a="1"/>
  <c r="F5" i="1" s="1"/>
  <c r="D4" i="13" s="1"/>
  <c r="D9" i="3"/>
  <c r="F3" i="13"/>
  <c r="F4" i="13"/>
  <c r="F5" i="13"/>
  <c r="F6" i="13"/>
  <c r="F7" i="13"/>
  <c r="F8" i="13"/>
  <c r="F9" i="1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5" i="3"/>
  <c r="B16" i="3"/>
  <c r="B17" i="3"/>
  <c r="B18" i="3"/>
  <c r="B19" i="3"/>
  <c r="B20" i="3"/>
  <c r="B21" i="3"/>
  <c r="D13" i="8"/>
  <c r="D10" i="8"/>
  <c r="D8" i="8"/>
  <c r="D6" i="8"/>
  <c r="D7" i="3"/>
  <c r="H3" i="13" l="1"/>
  <c r="D32" i="8" s="1"/>
  <c r="D5" i="13"/>
  <c r="D8" i="13"/>
  <c r="D3" i="13"/>
  <c r="D7" i="13"/>
  <c r="D9" i="13"/>
  <c r="D6" i="13"/>
  <c r="D17"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tc={A6A5DA66-EF20-45E9-89C9-44FA0180F6F4}</author>
    <author>tc={A8220C3C-A516-487D-AC12-492DDF2C475E}</author>
    <author>jacob</author>
  </authors>
  <commentList>
    <comment ref="A2" authorId="0" shapeId="0" xr:uid="{A6A5DA66-EF20-45E9-89C9-44FA0180F6F4}">
      <text>
        <t>[對話串註解]
您的 Excel 版本可讓您讀取此對話串註解; 但若以較新的 Excel 版本開啟此檔案，將會移除對它進行的所有編輯。深入了解: https://go.microsoft.com/fwlink/?linkid=870924。
註解:
    IF(LEN(Variable!B14&amp;Variable!C14)&gt;4,Variable!B14&amp;Variable!C14,"")</t>
      </text>
    </comment>
    <comment ref="F2" authorId="1" shapeId="0" xr:uid="{A8220C3C-A516-487D-AC12-492DDF2C475E}">
      <text>
        <t>[對話串註解]
您的 Excel 版本可讓您讀取此對話串註解; 但若以較新的 Excel 版本開啟此檔案，將會移除對它進行的所有編輯。深入了解: https://go.microsoft.com/fwlink/?linkid=870924。
註解:
    IF(LEN([@報告內容])&gt;0,Temporary!S5&amp;Temporary!Q5&amp;[@報告內容],"")</t>
      </text>
    </comment>
    <comment ref="H3" authorId="2" shapeId="0" xr:uid="{920B1C1C-88AE-4C67-A04E-3E1CDB08F94A}">
      <text>
        <r>
          <rPr>
            <b/>
            <sz val="9"/>
            <color indexed="81"/>
            <rFont val="Tahoma"/>
            <family val="2"/>
          </rPr>
          <t>jacob:</t>
        </r>
        <r>
          <rPr>
            <sz val="9"/>
            <color indexed="81"/>
            <rFont val="Tahoma"/>
            <family val="2"/>
          </rPr>
          <t xml:space="preserve">
</t>
        </r>
        <r>
          <rPr>
            <sz val="9"/>
            <color indexed="81"/>
            <rFont val="細明體"/>
            <family val="3"/>
            <charset val="136"/>
          </rPr>
          <t>用樞紐來呈現，再用</t>
        </r>
        <r>
          <rPr>
            <sz val="9"/>
            <color indexed="81"/>
            <rFont val="Tahoma"/>
            <family val="2"/>
          </rPr>
          <t>if else</t>
        </r>
        <r>
          <rPr>
            <sz val="9"/>
            <color indexed="81"/>
            <rFont val="細明體"/>
            <family val="3"/>
            <charset val="136"/>
          </rPr>
          <t xml:space="preserve">抓去報告貼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A4EEA36-6399-4177-AE10-FB05361D32C3}" keepAlive="1" name="ModelConnection_外部資料_2" description="資料模型" type="5" refreshedVersion="8" minRefreshableVersion="5" saveData="1">
    <dbPr connection="Data Model Connection" command="作業清單" commandType="3"/>
    <extLst>
      <ext xmlns:x15="http://schemas.microsoft.com/office/spreadsheetml/2010/11/main" uri="{DE250136-89BD-433C-8126-D09CA5730AF9}">
        <x15:connection id="" model="1"/>
      </ext>
    </extLst>
  </connection>
  <connection id="2" xr16:uid="{47DBBF13-6E6D-4464-9BD2-DDF9CF7EF32E}" keepAlive="1" name="ThisWorkbookDataModel" description="資料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0A075652-9E97-4E50-A228-A3374563E119}" keepAlive="1" name="查詢 - 引用法規" description="與活頁簿中 '引用法規' 查詢的連接。" type="5" refreshedVersion="8" background="1" saveData="1">
    <dbPr connection="Provider=Microsoft.Mashup.OleDb.1;Data Source=$Workbook$;Location=引用法規;Extended Properties=&quot;&quot;" command="SELECT * FROM [引用法規]"/>
  </connection>
  <connection id="4" xr16:uid="{F5359851-DD3B-4BAB-860D-BBD18AECA9EA}" name="查詢 - 作業清單" description="與活頁簿中 '作業清單' 查詢的連接。" type="100" refreshedVersion="8" minRefreshableVersion="5">
    <extLst>
      <ext xmlns:x15="http://schemas.microsoft.com/office/spreadsheetml/2010/11/main" uri="{DE250136-89BD-433C-8126-D09CA5730AF9}">
        <x15:connection id="e5d23219-61f1-4ec6-b3c2-17833508e399"/>
      </ext>
    </extLst>
  </connection>
  <connection id="5" xr16:uid="{E3FFAEAF-F7E8-4432-A77D-F4C1E8A48629}" name="查詢 - 查核作業" description="與活頁簿中 '查核作業' 查詢的連接。" type="100" refreshedVersion="8" minRefreshableVersion="5">
    <extLst>
      <ext xmlns:x15="http://schemas.microsoft.com/office/spreadsheetml/2010/11/main" uri="{DE250136-89BD-433C-8126-D09CA5730AF9}">
        <x15:connection id="f0a9f01a-dfaf-4dbf-bdb1-d2ace12db5a3"/>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<sst xmlns="http://schemas.openxmlformats.org/spreadsheetml/2006/main" count="418" uniqueCount="207">
  <si>
    <t>底稿索引</t>
  </si>
  <si>
    <t>是</t>
  </si>
  <si>
    <t>否</t>
  </si>
  <si>
    <t>查核項目</t>
  </si>
  <si>
    <t>檢查、評估情形</t>
  </si>
  <si>
    <t>不適用</t>
  </si>
  <si>
    <t>實際執行事項說明</t>
    <phoneticPr fontId="1" type="noConversion"/>
  </si>
  <si>
    <t xml:space="preserve">  </t>
  </si>
  <si>
    <t xml:space="preserve">查核目的：■年度稽核計畫    ■一般查核    □專案查核  </t>
  </si>
  <si>
    <t>查核人員</t>
    <phoneticPr fontId="1" type="noConversion"/>
  </si>
  <si>
    <t>查核基準日</t>
    <phoneticPr fontId="1" type="noConversion"/>
  </si>
  <si>
    <t>當日</t>
    <phoneticPr fontId="1" type="noConversion"/>
  </si>
  <si>
    <t>裴古瑞</t>
    <phoneticPr fontId="1" type="noConversion"/>
  </si>
  <si>
    <t>王建智</t>
  </si>
  <si>
    <t>受查單位</t>
    <phoneticPr fontId="1" type="noConversion"/>
  </si>
  <si>
    <t xml:space="preserve">稽核主管： </t>
    <phoneticPr fontId="1" type="noConversion"/>
  </si>
  <si>
    <t>稽核人員：</t>
    <phoneticPr fontId="1" type="noConversion"/>
  </si>
  <si>
    <t>查核範圍期間</t>
    <phoneticPr fontId="1" type="noConversion"/>
  </si>
  <si>
    <t>調閱清單</t>
    <phoneticPr fontId="8" type="noConversion"/>
  </si>
  <si>
    <r>
      <t>請準備以下查核之資料，</t>
    </r>
    <r>
      <rPr>
        <b/>
        <sz val="14"/>
        <color rgb="FFFF0000"/>
        <rFont val="標楷體"/>
        <family val="4"/>
        <charset val="136"/>
      </rPr>
      <t>於9月22日前陸續提供所需資料或說明文字檔</t>
    </r>
    <r>
      <rPr>
        <sz val="14"/>
        <color theme="1"/>
        <rFont val="標楷體"/>
        <family val="4"/>
        <charset val="136"/>
      </rPr>
      <t>，如於受查期間未發生該作業程序請於說明欄位(實際執行事項說明)處填寫"未發生"；或該作業程序目前未有現行實務做法，可先就該項目陳述未來規劃作業之方式，並請儘量以電子檔提供相關資料作為附件，謝謝。</t>
    </r>
    <phoneticPr fontId="8" type="noConversion"/>
  </si>
  <si>
    <t>查核作業</t>
    <phoneticPr fontId="1" type="noConversion"/>
  </si>
  <si>
    <t>查核項目</t>
    <phoneticPr fontId="1" type="noConversion"/>
  </si>
  <si>
    <t>有關資訊作業委外相關事項是否依據本公司「第三方服務資訊安全管理辦法」之要求據以執行。</t>
  </si>
  <si>
    <t>查核作業</t>
  </si>
  <si>
    <t>說明：</t>
  </si>
  <si>
    <t>說明：</t>
    <phoneticPr fontId="1" type="noConversion"/>
  </si>
  <si>
    <t>作業清單</t>
  </si>
  <si>
    <t>，並依據金融監督管理委員會</t>
  </si>
  <si>
    <t>內部控制制度</t>
  </si>
  <si>
    <t>內部控制制度</t>
    <phoneticPr fontId="1" type="noConversion"/>
  </si>
  <si>
    <t>外部法規</t>
  </si>
  <si>
    <t>外部法規</t>
    <phoneticPr fontId="1" type="noConversion"/>
  </si>
  <si>
    <t>金融機構提供行動裝置應用程式作業規範</t>
  </si>
  <si>
    <t>金融機構運用新興科技作業規範</t>
  </si>
  <si>
    <t>電子支付機構資訊系統標準及安全控管作業基準</t>
    <phoneticPr fontId="1" type="noConversion"/>
  </si>
  <si>
    <t>等主管機關之主要規範以及本公司</t>
  </si>
  <si>
    <t>、基本作業循環內部控制制度之</t>
  </si>
  <si>
    <t xml:space="preserve"> 等主要規範進行查核，相關查核作業項目及重點說明如下:</t>
  </si>
  <si>
    <t>Step4.開始撰寫報告時，在這裡確認引用了那些法規。</t>
    <phoneticPr fontId="1" type="noConversion"/>
  </si>
  <si>
    <t>Step1.確認相關基本資料是否正確</t>
    <phoneticPr fontId="1" type="noConversion"/>
  </si>
  <si>
    <t>說明：此處需填上必須文字，會直接連動報表的查核人員、日期、單位。</t>
  </si>
  <si>
    <r>
      <t>Step2.</t>
    </r>
    <r>
      <rPr>
        <b/>
        <sz val="14"/>
        <rFont val="細明體"/>
        <family val="3"/>
        <charset val="136"/>
      </rPr>
      <t>開始撰寫查核作業、查核項目及實際執行事項說明</t>
    </r>
    <phoneticPr fontId="1" type="noConversion"/>
  </si>
  <si>
    <t>查核循環</t>
  </si>
  <si>
    <t>查核循環</t>
    <phoneticPr fontId="1" type="noConversion"/>
  </si>
  <si>
    <r>
      <t>Step3.</t>
    </r>
    <r>
      <rPr>
        <b/>
        <sz val="14"/>
        <rFont val="新細明體"/>
        <family val="2"/>
        <charset val="136"/>
      </rPr>
      <t>按一下，</t>
    </r>
    <r>
      <rPr>
        <b/>
        <sz val="14"/>
        <rFont val="細明體"/>
        <family val="2"/>
        <charset val="136"/>
      </rPr>
      <t>開始整理調閱清單、工作底稿</t>
    </r>
    <phoneticPr fontId="1" type="noConversion"/>
  </si>
  <si>
    <t>年度稽核計畫中技術部之一般查核，查核項目：</t>
    <phoneticPr fontId="1" type="noConversion"/>
  </si>
  <si>
    <t>「電子支付機構資訊系統標準及安全控管作業基準」</t>
  </si>
  <si>
    <t>「金融機構提供行動裝置應用程式作業規範」</t>
  </si>
  <si>
    <t>「金融機構運用新興科技作業規範」</t>
  </si>
  <si>
    <t>整理前查核循環</t>
  </si>
  <si>
    <t>產出結果：</t>
    <phoneticPr fontId="1" type="noConversion"/>
  </si>
  <si>
    <t>文字串接：</t>
    <phoneticPr fontId="1" type="noConversion"/>
  </si>
  <si>
    <t>查核人員：裴古瑞、王建智</t>
    <phoneticPr fontId="1" type="noConversion"/>
  </si>
  <si>
    <t>查核範圍期間：111年1月1日~111年08月31日</t>
    <phoneticPr fontId="1" type="noConversion"/>
  </si>
  <si>
    <t>查核基準日：111年08月31日</t>
    <phoneticPr fontId="1" type="noConversion"/>
  </si>
  <si>
    <t>審查人員：裴古瑞</t>
    <phoneticPr fontId="1" type="noConversion"/>
  </si>
  <si>
    <t xml:space="preserve">查核目的：■年度稽核計畫    □一般查核    ■專案查核  </t>
    <phoneticPr fontId="1" type="noConversion"/>
  </si>
  <si>
    <t>一般查核為True
專案查核為False</t>
    <phoneticPr fontId="1" type="noConversion"/>
  </si>
  <si>
    <t>全 支 付 電 子 支 付</t>
    <phoneticPr fontId="1" type="noConversion"/>
  </si>
  <si>
    <t>專 案 查 核 報 告</t>
    <phoneticPr fontId="1" type="noConversion"/>
  </si>
  <si>
    <t xml:space="preserve">    本次查核為辦理本公司</t>
    <phoneticPr fontId="1" type="noConversion"/>
  </si>
  <si>
    <t>一</t>
  </si>
  <si>
    <t>二</t>
  </si>
  <si>
    <t>三</t>
  </si>
  <si>
    <t>四</t>
  </si>
  <si>
    <t>五</t>
  </si>
  <si>
    <t>六</t>
  </si>
  <si>
    <t>七</t>
  </si>
  <si>
    <t>八</t>
  </si>
  <si>
    <t>九</t>
  </si>
  <si>
    <t>十</t>
  </si>
  <si>
    <t>十一</t>
  </si>
  <si>
    <t>(</t>
  </si>
  <si>
    <t>)</t>
  </si>
  <si>
    <t>項次</t>
  </si>
  <si>
    <t>稽核報告內容</t>
    <phoneticPr fontId="1" type="noConversion"/>
  </si>
  <si>
    <t>查核報告敘述</t>
    <phoneticPr fontId="1" type="noConversion"/>
  </si>
  <si>
    <t>符號</t>
  </si>
  <si>
    <t>符號2</t>
  </si>
  <si>
    <t>符號3</t>
  </si>
  <si>
    <t>符號4</t>
  </si>
  <si>
    <t>項次2</t>
  </si>
  <si>
    <t>、</t>
  </si>
  <si>
    <t>.</t>
  </si>
  <si>
    <t>十二</t>
  </si>
  <si>
    <t>十三</t>
  </si>
  <si>
    <t>十四</t>
  </si>
  <si>
    <t>十五</t>
  </si>
  <si>
    <t>十六</t>
  </si>
  <si>
    <t>十七</t>
  </si>
  <si>
    <t>十八</t>
  </si>
  <si>
    <t>十九</t>
  </si>
  <si>
    <t>二十</t>
  </si>
  <si>
    <t>組合項次</t>
    <phoneticPr fontId="1" type="noConversion"/>
  </si>
  <si>
    <t>查核內容</t>
    <phoneticPr fontId="1" type="noConversion"/>
  </si>
  <si>
    <t>報告內容</t>
    <phoneticPr fontId="1" type="noConversion"/>
  </si>
  <si>
    <t>依輸出內容</t>
    <phoneticPr fontId="1" type="noConversion"/>
  </si>
  <si>
    <t>順序</t>
    <phoneticPr fontId="1" type="noConversion"/>
  </si>
  <si>
    <t>條列式內容</t>
    <phoneticPr fontId="1" type="noConversion"/>
  </si>
  <si>
    <t>欲輸出畫面</t>
  </si>
  <si>
    <t>依左側查核內容撰寫稽核報告</t>
    <phoneticPr fontId="1" type="noConversion"/>
  </si>
  <si>
    <t>空白</t>
    <phoneticPr fontId="1" type="noConversion"/>
  </si>
  <si>
    <t xml:space="preserve">    </t>
    <phoneticPr fontId="1" type="noConversion"/>
  </si>
  <si>
    <t xml:space="preserve">                             全支付電子支付  稽核室</t>
  </si>
  <si>
    <t xml:space="preserve">董事長（簽章/日期）: </t>
  </si>
  <si>
    <t>本公司受理線上使用者申請時，是否依其留存身分資料於確認後提供對應之電子支付帳戶，且各類型帳戶收付額度以定額為限。</t>
  </si>
  <si>
    <t>使用者之資料是否存入全支付後台管理系統，且使用者收款額度或額度調整等事項是否保留紀錄。</t>
  </si>
  <si>
    <t>若使用者之收款額度如有逾越一般管理額度時，是否經過權責主管核准後並保留相關紀錄。</t>
  </si>
  <si>
    <t>本公司線上申請之使用者欲調整交易額度是否符合相關規定。</t>
  </si>
  <si>
    <t>本公司通路商業務模式及資料是否有列表控管。</t>
  </si>
  <si>
    <t>是否定期評估通路商效益，且評估後若有未符合預期者是否提出改善方式。</t>
  </si>
  <si>
    <t>業務部提供業務合作分析之內容是否符合公司營運方向。</t>
  </si>
  <si>
    <t>與通路商合約簽定前是否有充分與相關單位溝通。</t>
  </si>
  <si>
    <t>是否適時審視各類通路商費率等條件以保障本公司權益。</t>
  </si>
  <si>
    <t>與通路商對帳之資訊是否與實際入帳金額一致。</t>
  </si>
  <si>
    <t>通路商提供之相關憑證內容是否與合約內容相符。</t>
  </si>
  <si>
    <t>給付通路商之金額成本認列是否符合相關法規要求。</t>
  </si>
  <si>
    <t>業務部是否提供客戶付款明細供財務部作為沖帳收款之依據。</t>
  </si>
  <si>
    <t>若有應收帳款因退貨或折讓，是否由業務部開立「應收帳款異動通知申請單」及「客戶退貨申請單」後交由財務部進行帳務處理。</t>
  </si>
  <si>
    <t>本公司收付訊息處理作業委外之管理，是否符合相關規範辦理。</t>
  </si>
  <si>
    <t>本公司代收以新臺幣繳納儲值款項作業委外之管理，是否符合相關規範辦理。</t>
  </si>
  <si>
    <t>受查單位：業務部</t>
    <phoneticPr fontId="1" type="noConversion"/>
  </si>
  <si>
    <t xml:space="preserve">查核目的：■年度稽核計畫    ■一般查核    □專案查核  </t>
    <phoneticPr fontId="1" type="noConversion"/>
  </si>
  <si>
    <t>查核期間</t>
    <phoneticPr fontId="1" type="noConversion"/>
  </si>
  <si>
    <t>營收及收款循環</t>
  </si>
  <si>
    <t>營收及收款循環</t>
    <phoneticPr fontId="1" type="noConversion"/>
  </si>
  <si>
    <t>消費者權益保障措施及消費糾紛處理程序</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</si>
  <si>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</si>
  <si>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</si>
  <si>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</si>
  <si>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</si>
  <si>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</si>
  <si>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</si>
  <si>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</si>
  <si>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「消費者權益保障措施及消費糾紛處理程序」</t>
  </si>
  <si>
    <t>「營收及收款循環」</t>
  </si>
  <si>
    <t>「交易結算及清算機制作業管理辦法」</t>
  </si>
  <si>
    <t>「資訊資產暨風險評鑑作業管理辦法」</t>
  </si>
  <si>
    <t>「電子資料交換管理辦法」</t>
  </si>
  <si>
    <t>「第三方服務資訊安全管理辦法」</t>
  </si>
  <si>
    <t>「個人資料保護管理辦法」</t>
  </si>
  <si>
    <t>「代理收付實質交易款項業務之管理及作業程序」</t>
  </si>
  <si>
    <t>「收受儲值款項業務之管理及作業程序」</t>
  </si>
  <si>
    <t>本公司收付訊息處理作業委外之管理，是否符合相關規範辦理。</t>
    <phoneticPr fontId="1" type="noConversion"/>
  </si>
  <si>
    <t>本公司代收以新臺幣繳納儲值款項作業委外之管理，是否符合相關規範辦理。</t>
    <phoneticPr fontId="1" type="noConversion"/>
  </si>
  <si>
    <t>使用者徵審管理作業</t>
  </si>
  <si>
    <t>使用者徵審管理作業</t>
    <phoneticPr fontId="1" type="noConversion"/>
  </si>
  <si>
    <t>通路商業務洽談與評估作業</t>
  </si>
  <si>
    <t>通路商業務洽談與評估作業</t>
    <phoneticPr fontId="1" type="noConversion"/>
  </si>
  <si>
    <t>通路商付款及入帳作業</t>
  </si>
  <si>
    <t>通路商付款及入帳作業</t>
    <phoneticPr fontId="1" type="noConversion"/>
  </si>
  <si>
    <t>委外管理作業管理</t>
  </si>
  <si>
    <t>委外管理作業管理</t>
    <phoneticPr fontId="1" type="noConversion"/>
  </si>
  <si>
    <t>業務部是否針對該代收以新臺幣繳納儲值款項作業業務至少每半年對受託機構辦理相關檢核作業。</t>
  </si>
  <si>
    <t>業務部是否針對該代收以新臺幣繳納儲值款項作業業務至少每半年對受託機構辦理相關檢核作業。</t>
    <phoneticPr fontId="1" type="noConversion"/>
  </si>
  <si>
    <t>業務部是否針對該收付訊息處理作業委外業務至少每半年對受託機構辦理相關檢核作業。</t>
  </si>
  <si>
    <t>業務部是否針對該收付訊息處理作業委外業務至少每半年對受託機構辦理相關檢核作業。</t>
    <phoneticPr fontId="1" type="noConversion"/>
  </si>
  <si>
    <t>說明：此處將直接帶入調閱清單及工作底稿。
注意：查核項目不能相同，因為此自動化包含樞紐，相同的項目會被刪掉。</t>
    <phoneticPr fontId="1" type="noConversion"/>
  </si>
  <si>
    <t>二、  財務狀況：</t>
  </si>
  <si>
    <t>不適用。</t>
  </si>
  <si>
    <t>三、  經營績效：</t>
  </si>
  <si>
    <t>四、  資產品質：</t>
  </si>
  <si>
    <t>五、  董事會議事運作之管理：</t>
  </si>
  <si>
    <t>六、  法令遵循：</t>
  </si>
  <si>
    <t>尚符合規定。</t>
  </si>
  <si>
    <t>七、  內部控制：</t>
  </si>
  <si>
    <t>八、  各項業務作業控制與內部管理：</t>
  </si>
  <si>
    <t>除下列發現事項外，其餘尚符合相關規定。</t>
  </si>
  <si>
    <t>九、  使用者及特約機構資料保密管理：</t>
  </si>
  <si>
    <t>十、  資訊管理：</t>
  </si>
  <si>
    <t>十一、 員工保密教育：</t>
  </si>
  <si>
    <t>十二、 金融消費者權益保護措施：</t>
  </si>
  <si>
    <t>十三、 自行查核辦理情形：</t>
  </si>
  <si>
    <t>辦理自行查核作業尚符合規定。</t>
  </si>
  <si>
    <t>十四、 其他說明事項：</t>
  </si>
  <si>
    <t>無。</t>
  </si>
  <si>
    <t>查核評估事項</t>
    <phoneticPr fontId="1" type="noConversion"/>
  </si>
  <si>
    <t>查核評估事項</t>
    <phoneticPr fontId="1" type="noConversion"/>
  </si>
  <si>
    <t>十二、金融消費者權益保護措施：</t>
    <phoneticPr fontId="1" type="noConversion"/>
  </si>
  <si>
    <t>十三、自行查核辦理情形：</t>
    <phoneticPr fontId="1" type="noConversion"/>
  </si>
  <si>
    <t>十四、其他說明事項：</t>
    <phoneticPr fontId="1" type="noConversion"/>
  </si>
  <si>
    <t>一、綜合評述/本次查核情形之重點說明：</t>
    <phoneticPr fontId="1" type="noConversion"/>
  </si>
  <si>
    <t>五、  董事會議事運作之管理：不適用。</t>
  </si>
  <si>
    <t>六、  法令遵循：尚符合規定。</t>
  </si>
  <si>
    <t>七、  內部控制：尚符合規定。</t>
  </si>
  <si>
    <t>九、  使用者及特約機構資料保密管理：不適用。</t>
  </si>
  <si>
    <t>十、  資訊管理：除下列發現事項外，其餘尚符合相關規定。</t>
  </si>
  <si>
    <t>十一、 員工保密教育：尚符合規定。</t>
  </si>
  <si>
    <t>十二、 金融消費者權益保護措施：不適用。</t>
  </si>
  <si>
    <t>十四、 其他說明事項：無。</t>
  </si>
  <si>
    <t>查核範圍期間：111年01月01日~111年08月31日</t>
    <phoneticPr fontId="1" type="noConversion"/>
  </si>
  <si>
    <t>查核所需資料</t>
    <phoneticPr fontId="1" type="noConversion"/>
  </si>
  <si>
    <t>製表日：中華民國111年11月3日</t>
    <phoneticPr fontId="1" type="noConversion"/>
  </si>
  <si>
    <t>一 般 查 核 稽 核 報 告</t>
    <phoneticPr fontId="1" type="noConversion"/>
  </si>
  <si>
    <t>查核基準日：111年7月31日</t>
    <phoneticPr fontId="1" type="noConversion"/>
  </si>
  <si>
    <t>查核期間：111年8月22日～111年9月14日</t>
    <phoneticPr fontId="1" type="noConversion"/>
  </si>
  <si>
    <t>中華民國111年9月28日</t>
    <phoneticPr fontId="1" type="noConversion"/>
  </si>
  <si>
    <t>受查單位：財務部</t>
    <phoneticPr fontId="1" type="noConversion"/>
  </si>
  <si>
    <t>查核範圍：111年1月1日～111年7月31日</t>
    <phoneticPr fontId="1" type="noConversion"/>
  </si>
  <si>
    <t>本次查核為辦理本公司111年度稽核計畫中財務部之一般查核，查核項目包括：支付款項管理機制、專用存款帳戶管理、國際會計準則之相關管理流程、財務報表編製流程之管理作業以及零用金管理作業等該部門有關作業，並依據金融監督管理委員會「電子支付機構管理條例」、「電子支付機構業務管理規則」、「	專營電子支付機構專用存款帳戶管理辦法」、「專營電子支付機構收受儲值款項準備金繳存及查核辦法」	等主管機關之主要規範以及本公司「支付款項管理辦法」、「交易結算及清算機制作業管理辦法」、「會計制度」、基本作業循環內部控制制度之「營收及收款循環」、「採購及付款循環」、「融資循環」、「其他管理循環：財務報表編製管理作業」等主要規範進行查核，相關查核作業項目及重點說明如下:</t>
    <phoneticPr fontId="1" type="noConversion"/>
  </si>
  <si>
    <t>(一)	支付款項管理機制：
1.	本公司已依專營電子支付機構專用存款帳戶管理辦法第三條之規定，遴選配合專用存款帳戶銀行辦理存管、移轉、動用及運用作業。財務部已依專營電子支付機構專用存款帳戶管理辦法第一十五條之規定進行定時申報。
2.	受查範圍期間內本公司與各銀行簽定之三方合約共有4筆，分別為中小企銀、中華郵政、玉山商銀以及將來商銀，管理銀行暨受託銀行為華泰銀行，相關契約之簽訂尚符合規定辦理。
3.	受查範圍期間內本公司尚未有信託契約或履約保證契約到期之情事。
4.	本公司與各金融機構進行款項移轉或匯款時，係透過管理銀行華泰商銀進行系統操作指示，並可查詢相關轉帳交易明細。
5.	實地查核全支付後台系統結清算記錄管理畫面中，專用存款帳戶已依據電子支付帳戶之規定明確區分代理收付款項及儲值款項，相關作業尚符合規定辦理。
6.	全支付電子支付系統經使用者提出支付款項移轉後，本公司將指示管理銀行依照信託指示書支付款項出款，相關款項移轉紀錄皆可於受託銀行進行交易明細查詢，並於全支付後台系統依交易作業分別紀錄。
7.	本公司與華泰商銀簽定之支付款項信託契約書第五條信託財產之管理及運用第三項第一款第一目，已明確規定本公司除經使用者進行支付款項指示進行移轉之外，不得動用該信託財產之款項，相關作業尚符合規定辦理。
8.	本公司與華泰商銀簽定之支付款項信託契約書第五條信託財產之管理及運用第三項第一款第二目，已明確規定經使用者進行提領指示後，全支付依使用者指定之金融機構相同幣別帳戶辦理支付款項移轉，且不得以現金支付，相關作業尚符合規定辦理。
9.	財務部人員可從全支付後台之管理行報表產生支付款項以及餘額各類檔案，並可操作下載以及上傳選項，而後報送管理銀行進行檢核。
(二)	專用存款帳戶管理：
1.	本公司與華泰商銀簽定之支付款項信託契約書已要求限以專用存款帳戶儲存及保管，不得為其他方式之運用，且經查華泰商銀之交易明細得知全支付電子支付系統每日皆會拋轉支付款項之檔案入該銀行專用存款帳戶。
2.	經使用者辦理提領指示後，本公司將指示管理銀行依照信託指示書支付款項出款，該檔案包含各項撥款檔之明細資訊。
3.	經查財務部111.07.31資產負債表，其中各專用存款合作銀行之金額與全支付後台企網銀金流紀錄中各金融機構之餘額皆相符。
4.	經查財務部申報金管會銀行局以及中央銀行之申報畫面，皆已定期辦理相關報送之作業。
(三)	國際會計準則之相關管理流程：
1.	經查110年度會計師查核全支付電子支付財務報告附註中，針對111年度起生效之新修正國際財務報導準則以及國際會計準則修正評估結果係不影響本公司會計政策及營運。
2.	財務部已針對各類取得之資產採用直線法提列折舊，經查五月底批次折舊單中有各項資產設備，該部門選定之折舊方法皆採取直線法分攤三年折舊，惟其中有四台資產設備存放於主機房且與全支付電子支付交易之系統直接相關，此作業方式未符合「會計制度」之要求，相關發現事項請參照本報告第八項「各項業務作業控制與內部管理」第一點之說明。另本次查核範圍期間內該部門未有發生殘值及耐用年限之預期值與先前之估計不同之情事。
3.	本次查核範圍期間內財務部未有辦理會計執行專業判斷之作業以及未發生會計估計變動之情事。
(四)	財務報表編製流程之管理作業：
1.	本公司於查期間範圍內尚未對外營運，最新財務報表於111.06.23經會計師查核後出具無保留意見之查核報告。
2.	本公司110年度會計師查核報告中各項財務報表，尚未有決算表內容與會計科目之應用及排列變更之情事。
3.	經查財務部依請款審核流程且已依核決權限簽核製作會計分錄及財務報表，惟總帳傳票中會計分錄發現有部分會計科目未於該部門會計制度中列示說明，相關發現事項請參照本報告第八項「各項業務作業控制與內部管理」第二點之說明。
4.	經查七月份總帳傳票得知會計憑證及相關帳目皆已編列成冊，並由財務部主管指定專人負責保存。
(五)	零用金管理作業：
1.	稽核室於8月11日進行實地盤點作業，經盤點零用金金額、未報銷單據與零用金額度均正確無誤。
2.	本次抽查傳票編號VH2207200001中共有38筆報銷單據，經核對傳票及相關報銷單據與審核權限表均設立主管簽核欄位，且皆已記錄支出明細及金額。
3.	本次抽查傳票編號VH2207200001中共有48筆原始憑證，經核對申請金額皆與憑證相符，且各項申請單據之統一編號及進項稅額均正確無誤。
4.	本公司零用金請領作業係由行政人員登打報銷申請單據後，交由會計人員進行確認該筆零用金金額及相關憑證。現行零用金撥補週期為每月乙次，經會計人員製作完轉帳傳票後，再交由財務人員且經主管確認撥後始得補零用金。</t>
    <phoneticPr fontId="1" type="noConversion"/>
  </si>
  <si>
    <t>二、  財務狀況：截至查核基準日止，本公司資產總額為NT$490,306,102元、負債總額為NT$42,363,486元、股東權益總額為NT$447,942,616元。</t>
    <phoneticPr fontId="1" type="noConversion"/>
  </si>
  <si>
    <t>三、  經營績效：截至查核基準日止，本公司111年1月1日至7月31日營業收入為NT$381元、營業毛利為NT$-4,479,853元、營業損失為NT$50,620,808元、本期淨損為NT$55,100,661元，淨損金額龐大之原因係公司在本期尚未對外開業所導致，嗣後稽核室將再追蹤此情況是否於對外開業後獲得改善。</t>
    <phoneticPr fontId="1" type="noConversion"/>
  </si>
  <si>
    <t>四、  資產品質：截至查核基準日止，本公司資產總額NT$490,306,102元中以流動資產NT$400,495,772元占81.68%為主、非流動資產NT$89,810,330元占18.32%，另流動負債NT$20,811,283元在負債及業主權益總額占4.24%，本期流動比率為1924%。因本公司屬電子支付業，尚未有開辦授信業務故無逾放比率。</t>
    <phoneticPr fontId="1" type="noConversion"/>
  </si>
  <si>
    <t>八、  各項業務作業控制與內部管理：除下列發現事項外，其餘尚符合相關規定。
(一)	經查五月底批次折舊單(單號FZ2205310001)中有各項資產設備，該部門選定之折舊方法皆採取直線法分攤三年折舊，惟其中有四台資產設備存放於主機房(資產代號：03-IT00-001~004)且與全支付電子支付交易之系統直接相關，未符合該部門會計制度第六章會計事務處理準則第一條第三項第三款折舊：「……本公司機器設備之估計耐用年限為五年。」嗣後應請注意改善辦理。
(二)	經查七月份總帳傳票發現有部分會計科目如「暫收款-代理收付帳差」出現次數較為頻繁，惟該部門會計制度中未列示說明，提請該部門應適時依實際作業情形修訂會計制度，以利財務報表編製內容之妥適性。</t>
    <phoneticPr fontId="1" type="noConversion"/>
  </si>
  <si>
    <t>十三、 自行查核辦理情形：該部門辦理111上半年度自行查核作業中有一項缺失待改善，經本次查核確認該作業項目之缺失已改善訖，其餘作業尚符合規定辦理。</t>
    <phoneticPr fontId="1" type="noConversion"/>
  </si>
  <si>
    <r>
      <t>查核基準日：111</t>
    </r>
    <r>
      <rPr>
        <sz val="11"/>
        <color theme="1"/>
        <rFont val="新細明體"/>
        <family val="1"/>
        <charset val="136"/>
        <scheme val="major"/>
      </rPr>
      <t>年09月31日</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</si>
</sst>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font>
      <sz val="11"/>
      <name val="Calibri"/>
      <family val="2"/>
    </font>
    <font>
      <sz val="9"/>
      <name val="細明體"/>
      <family val="3"/>
      <charset val="136"/>
    </font>
    <font>
      <sz val="12"/>
      <name val="標楷體"/>
      <family val="4"/>
      <charset val="136"/>
    </font>
    <font>
      <b/>
      <sz val="12"/>
      <color rgb="FF000000"/>
      <name val="標楷體"/>
      <family val="4"/>
      <charset val="136"/>
    </font>
    <font>
      <b/>
      <sz val="11"/>
      <color rgb="FF000000"/>
      <name val="標楷體"/>
      <family val="4"/>
      <charset val="136"/>
    </font>
    <font>
      <sz val="12"/>
      <color rgb="FF000000"/>
      <name val="標楷體"/>
      <family val="4"/>
      <charset val="136"/>
    </font>
    <font>
      <sz val="10"/>
      <color rgb="FF000000"/>
      <name val="標楷體"/>
      <family val="4"/>
      <charset val="136"/>
    </font>
    <font>
      <sz val="14"/>
      <color theme="1"/>
      <name val="標楷體"/>
      <family val="4"/>
      <charset val="136"/>
    </font>
    <font>
      <sz val="9"/>
      <name val="新細明體"/>
      <family val="3"/>
      <charset val="136"/>
      <scheme val="minor"/>
    </font>
    <font>
      <sz val="12"/>
      <name val="Calibri"/>
      <family val="2"/>
    </font>
    <font>
      <sz val="72"/>
      <name val="標楷體"/>
      <family val="4"/>
      <charset val="136"/>
    </font>
    <font>
      <sz val="11"/>
      <name val="標楷體"/>
      <family val="4"/>
      <charset val="136"/>
    </font>
    <font>
      <sz val="11"/>
      <name val="細明體"/>
      <family val="3"/>
      <charset val="136"/>
    </font>
    <font>
      <sz val="11"/>
      <name val="細明體"/>
      <family val="2"/>
      <charset val="136"/>
    </font>
    <font>
      <sz val="11"/>
      <color theme="1"/>
      <name val="新細明體"/>
      <family val="2"/>
      <scheme val="minor"/>
    </font>
    <font>
      <sz val="12"/>
      <color theme="1"/>
      <name val="標楷體"/>
      <family val="4"/>
      <charset val="136"/>
    </font>
    <font>
      <b/>
      <sz val="14"/>
      <color theme="1"/>
      <name val="標楷體"/>
      <family val="4"/>
      <charset val="136"/>
    </font>
    <font>
      <b/>
      <sz val="14"/>
      <color rgb="FFFF0000"/>
      <name val="標楷體"/>
      <family val="4"/>
      <charset val="136"/>
    </font>
    <font>
      <sz val="11"/>
      <color theme="1"/>
      <name val="標楷體"/>
      <family val="4"/>
      <charset val="136"/>
    </font>
    <font>
      <sz val="14"/>
      <color theme="1"/>
      <name val="新細明體"/>
      <family val="2"/>
      <scheme val="minor"/>
    </font>
    <font>
      <b/>
      <sz val="12"/>
      <name val="標楷體"/>
      <family val="4"/>
      <charset val="136"/>
    </font>
    <font>
      <sz val="9"/>
      <color indexed="81"/>
      <name val="Tahoma"/>
      <family val="2"/>
    </font>
    <font>
      <b/>
      <sz val="14"/>
      <name val="新細明體"/>
      <family val="1"/>
      <charset val="136"/>
    </font>
    <font>
      <sz val="11"/>
      <name val="新細明體"/>
      <family val="1"/>
      <charset val="136"/>
    </font>
    <font>
      <b/>
      <sz val="14"/>
      <name val="細明體"/>
      <family val="3"/>
      <charset val="136"/>
    </font>
    <font>
      <b/>
      <sz val="14"/>
      <name val="Calibri"/>
      <family val="2"/>
    </font>
    <font>
      <b/>
      <sz val="14"/>
      <name val="細明體"/>
      <family val="2"/>
      <charset val="136"/>
    </font>
    <font>
      <b/>
      <sz val="14"/>
      <name val="新細明體"/>
      <family val="2"/>
      <charset val="136"/>
    </font>
    <font>
      <sz val="20"/>
      <name val="標楷體"/>
      <family val="4"/>
      <charset val="136"/>
    </font>
    <font>
      <sz val="11"/>
      <color rgb="FF000000"/>
      <name val="細明體"/>
      <family val="3"/>
      <charset val="136"/>
    </font>
    <font>
      <sz val="11"/>
      <name val="新細明體"/>
      <family val="1"/>
      <charset val="136"/>
      <scheme val="minor"/>
    </font>
    <font>
      <b/>
      <sz val="9"/>
      <color indexed="81"/>
      <name val="Tahoma"/>
      <family val="2"/>
    </font>
    <font>
      <sz val="9"/>
      <color indexed="81"/>
      <name val="細明體"/>
      <family val="3"/>
      <charset val="136"/>
    </font>
    <font>
      <sz val="18"/>
      <name val="標楷體"/>
      <family val="4"/>
      <charset val="136"/>
    </font>
    <font>
      <b/>
      <sz val="20"/>
      <name val="標楷體"/>
      <family val="4"/>
      <charset val="136"/>
    </font>
    <font>
      <sz val="20"/>
      <color rgb="FF000000"/>
      <name val="標楷體"/>
      <family val="4"/>
      <charset val="136"/>
    </font>
    <font>
      <sz val="12"/>
      <name val="新細明體"/>
      <family val="1"/>
      <charset val="136"/>
    </font>
    <font>
      <sz val="11"/>
      <name val="微軟正黑體"/>
      <family val="2"/>
      <charset val="136"/>
    </font>
    <font>
      <sz val="11"/>
      <name val="新細明體"/>
      <family val="1"/>
      <charset val="136"/>
      <scheme val="major"/>
    </font>
    <font>
      <sz val="11"/>
      <color theme="1"/>
      <name val="新細明體"/>
      <family val="1"/>
      <charset val="136"/>
      <scheme val="major"/>
    </font>
    <font>
      <b/>
      <sz val="16"/>
      <name val="新細明體"/>
      <family val="1"/>
      <charset val="136"/>
      <scheme val="minor"/>
    </font>
    <font>
      <b/>
      <sz val="16"/>
      <name val="Calibri"/>
      <family val="2"/>
    </font>
    <font>
      <b/>
      <sz val="16"/>
      <name val="標楷體"/>
      <family val="4"/>
      <charset val="136"/>
    </font>
    <font>
      <b/>
      <sz val="12"/>
      <color theme="1"/>
      <name val="標楷體"/>
      <family val="4"/>
      <charset val="136"/>
    </font>
    <font>
      <b/>
      <sz val="11"/>
      <color theme="1"/>
      <name val="標楷體"/>
      <family val="4"/>
      <charset val="136"/>
    </font>
  </fonts>
  <fills count="4">
    <fill>
      <patternFill patternType="none"/>
    </fill>
    <fill>
      <patternFill patternType="gray125"/>
    </fill>
    <fill>
      <patternFill patternType="solid">
        <fgColor rgb="FFFFFFFF"/>
        <bgColor indexed="64"/>
      </patternFill>
    </fill>
    <fill>
      <patternFill patternType="solid">
        <fgColor rgb="FFFFFF0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bottom style="thick">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theme="1"/>
      </top>
      <bottom style="thin">
        <color theme="1"/>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14" fillId="0" borderId="0"/>
  </cellStyleXfs>
  <cellXfs count="138">
    <xf numFmtId="0" fontId="0" fillId="0" borderId="0" xfId="0" applyAlignment="1">
      <alignment horizontal="left"/>
    </xf>
    <xf numFmtId="0" fontId="2" fillId="0" borderId="0" xfId="0" applyFont="1" applyAlignment="1">
      <alignment horizontal="left" vertical="center"/>
    </xf>
    <xf numFmtId="0" fontId="9" fillId="0" borderId="1" xfId="0" applyFont="1" applyBorder="1" applyAlignment="1">
      <alignment horizontal="center" vertical="center"/>
    </xf>
    <xf numFmtId="0" fontId="13" fillId="0" borderId="0" xfId="0" applyFont="1" applyAlignment="1">
      <alignment horizontal="left"/>
    </xf>
    <xf numFmtId="0" fontId="12" fillId="0" borderId="0" xfId="0" applyFont="1" applyAlignment="1">
      <alignment horizontal="left"/>
    </xf>
    <xf numFmtId="0" fontId="7" fillId="0" borderId="0" xfId="1" applyFont="1"/>
    <xf numFmtId="0" fontId="0" fillId="0" borderId="0" xfId="0" applyAlignment="1">
      <alignment horizontal="left" wrapText="1"/>
    </xf>
    <xf numFmtId="0" fontId="15" fillId="0" borderId="0" xfId="1" applyFont="1" applyAlignment="1">
      <alignment vertical="center"/>
    </xf>
    <xf numFmtId="0" fontId="18" fillId="0" borderId="0" xfId="1" applyFont="1"/>
    <xf numFmtId="0" fontId="13" fillId="0" borderId="0" xfId="0" applyFont="1" applyAlignment="1">
      <alignment horizontal="left" wrapText="1"/>
    </xf>
    <xf numFmtId="0" fontId="2" fillId="0" borderId="0" xfId="0" applyFont="1" applyAlignment="1">
      <alignment horizontal="left" vertical="center" wrapText="1"/>
    </xf>
    <xf numFmtId="0" fontId="2" fillId="0" borderId="0" xfId="0" applyFont="1" applyAlignment="1">
      <alignment horizontal="left" wrapText="1"/>
    </xf>
    <xf numFmtId="0" fontId="3" fillId="0" borderId="9" xfId="0" applyFont="1" applyBorder="1" applyAlignment="1">
      <alignment horizontal="center" vertical="center" wrapText="1"/>
    </xf>
    <xf numFmtId="0" fontId="2" fillId="0" borderId="0" xfId="0" pivotButton="1" applyFont="1" applyAlignment="1">
      <alignment horizontal="left"/>
    </xf>
    <xf numFmtId="0" fontId="2" fillId="0" borderId="0" xfId="0" applyFont="1" applyAlignment="1">
      <alignment horizontal="left"/>
    </xf>
    <xf numFmtId="0" fontId="2" fillId="0" borderId="1" xfId="0" applyFont="1" applyBorder="1" applyAlignment="1">
      <alignment horizontal="left" wrapText="1"/>
    </xf>
    <xf numFmtId="0" fontId="2" fillId="0" borderId="1" xfId="0" applyFont="1" applyBorder="1" applyAlignment="1">
      <alignment horizontal="center" vertical="center" textRotation="255" wrapText="1"/>
    </xf>
    <xf numFmtId="0" fontId="20" fillId="0" borderId="1" xfId="0" applyFont="1" applyBorder="1" applyAlignment="1">
      <alignment horizontal="center" vertical="center" wrapText="1"/>
    </xf>
    <xf numFmtId="0" fontId="15" fillId="0" borderId="1" xfId="1" applyFont="1" applyBorder="1" applyAlignment="1">
      <alignment vertical="center"/>
    </xf>
    <xf numFmtId="0" fontId="5" fillId="2" borderId="1" xfId="0" applyFont="1" applyFill="1" applyBorder="1" applyAlignment="1">
      <alignment horizontal="justify" vertical="top" wrapText="1"/>
    </xf>
    <xf numFmtId="0" fontId="6" fillId="2" borderId="1" xfId="0" applyFont="1" applyFill="1" applyBorder="1" applyAlignment="1">
      <alignment horizontal="justify" vertical="top" wrapText="1"/>
    </xf>
    <xf numFmtId="0" fontId="4" fillId="2" borderId="1" xfId="0" applyFont="1" applyFill="1" applyBorder="1" applyAlignment="1">
      <alignment horizontal="justify" vertical="top" wrapText="1"/>
    </xf>
    <xf numFmtId="0" fontId="23" fillId="0" borderId="0" xfId="0" applyFont="1" applyAlignment="1">
      <alignment horizontal="left"/>
    </xf>
    <xf numFmtId="0" fontId="24" fillId="0" borderId="0" xfId="0" applyFont="1" applyAlignment="1">
      <alignment horizontal="left"/>
    </xf>
    <xf numFmtId="0" fontId="25" fillId="0" borderId="0" xfId="0" applyFont="1" applyAlignment="1">
      <alignment horizontal="left"/>
    </xf>
    <xf numFmtId="0" fontId="22" fillId="0" borderId="0" xfId="0" applyFont="1" applyAlignment="1">
      <alignment horizontal="left"/>
    </xf>
    <xf numFmtId="0" fontId="2" fillId="0" borderId="10" xfId="0" applyFont="1" applyBorder="1" applyAlignment="1">
      <alignment horizontal="left" wrapText="1"/>
    </xf>
    <xf numFmtId="0" fontId="2" fillId="0" borderId="17" xfId="0" applyFont="1" applyBorder="1" applyAlignment="1">
      <alignment horizontal="left" wrapText="1"/>
    </xf>
    <xf numFmtId="0" fontId="2" fillId="0" borderId="11" xfId="0" applyFont="1" applyBorder="1" applyAlignment="1">
      <alignment horizontal="left" wrapText="1"/>
    </xf>
    <xf numFmtId="0" fontId="2" fillId="0" borderId="12" xfId="0" applyFont="1" applyBorder="1" applyAlignment="1">
      <alignment horizontal="left" wrapText="1"/>
    </xf>
    <xf numFmtId="0" fontId="2" fillId="0" borderId="13" xfId="0" applyFont="1" applyBorder="1" applyAlignment="1">
      <alignment horizontal="left" wrapText="1"/>
    </xf>
    <xf numFmtId="0" fontId="0" fillId="0" borderId="0" xfId="0" applyAlignment="1">
      <alignment horizontal="left" vertical="top" wrapText="1"/>
    </xf>
    <xf numFmtId="0" fontId="2" fillId="0" borderId="24" xfId="0" applyFont="1" applyBorder="1" applyAlignment="1">
      <alignment horizontal="left"/>
    </xf>
    <xf numFmtId="0" fontId="2" fillId="0" borderId="4" xfId="0" applyFont="1" applyBorder="1" applyAlignment="1">
      <alignment horizontal="left"/>
    </xf>
    <xf numFmtId="0" fontId="2" fillId="0" borderId="25" xfId="0" applyFont="1" applyBorder="1" applyAlignment="1">
      <alignment horizontal="left"/>
    </xf>
    <xf numFmtId="0" fontId="2" fillId="0" borderId="5" xfId="0" applyFont="1" applyBorder="1" applyAlignment="1">
      <alignment horizontal="left"/>
    </xf>
    <xf numFmtId="0" fontId="2" fillId="0" borderId="1" xfId="0" applyFont="1" applyBorder="1" applyAlignment="1">
      <alignment horizontal="left"/>
    </xf>
    <xf numFmtId="0" fontId="2" fillId="0" borderId="23" xfId="0" applyFont="1" applyBorder="1" applyAlignment="1">
      <alignment horizontal="left"/>
    </xf>
    <xf numFmtId="0" fontId="30" fillId="0" borderId="0" xfId="0" applyFont="1" applyAlignment="1">
      <alignment horizontal="left" wrapText="1"/>
    </xf>
    <xf numFmtId="0" fontId="30" fillId="0" borderId="17" xfId="0" applyFont="1" applyBorder="1" applyAlignment="1">
      <alignment horizontal="left" wrapText="1"/>
    </xf>
    <xf numFmtId="0" fontId="30" fillId="0" borderId="0" xfId="0" applyFont="1" applyAlignment="1">
      <alignment horizontal="left" vertical="top" wrapText="1"/>
    </xf>
    <xf numFmtId="0" fontId="30" fillId="0" borderId="17" xfId="0" applyFont="1" applyBorder="1" applyAlignment="1">
      <alignment horizontal="left" vertical="top" wrapText="1"/>
    </xf>
    <xf numFmtId="49" fontId="2" fillId="0" borderId="0" xfId="0" applyNumberFormat="1" applyFont="1" applyAlignment="1">
      <alignment horizontal="left"/>
    </xf>
    <xf numFmtId="49" fontId="2" fillId="0" borderId="23" xfId="0" applyNumberFormat="1" applyFont="1" applyBorder="1" applyAlignment="1">
      <alignment horizontal="left"/>
    </xf>
    <xf numFmtId="49" fontId="2" fillId="0" borderId="1" xfId="0" applyNumberFormat="1" applyFont="1" applyBorder="1" applyAlignment="1">
      <alignment horizontal="left"/>
    </xf>
    <xf numFmtId="49" fontId="2" fillId="0" borderId="25" xfId="0" applyNumberFormat="1" applyFont="1" applyBorder="1" applyAlignment="1">
      <alignment horizontal="left"/>
    </xf>
    <xf numFmtId="0" fontId="28" fillId="0" borderId="0" xfId="0" applyFont="1" applyAlignment="1">
      <alignment horizontal="left" vertical="top" wrapText="1"/>
    </xf>
    <xf numFmtId="0" fontId="28" fillId="0" borderId="0" xfId="0" applyFont="1" applyAlignment="1">
      <alignment horizontal="left" vertical="top"/>
    </xf>
    <xf numFmtId="0" fontId="11" fillId="0" borderId="0" xfId="0" applyFont="1" applyAlignment="1">
      <alignment horizontal="left" vertical="top"/>
    </xf>
    <xf numFmtId="0" fontId="28" fillId="0" borderId="2" xfId="0" applyFont="1" applyBorder="1" applyAlignment="1">
      <alignment horizontal="left" vertical="top" wrapText="1"/>
    </xf>
    <xf numFmtId="0" fontId="28" fillId="0" borderId="5" xfId="0" applyFont="1" applyBorder="1" applyAlignment="1">
      <alignment horizontal="left" vertical="top"/>
    </xf>
    <xf numFmtId="0" fontId="33" fillId="0" borderId="0" xfId="0" applyFont="1" applyAlignment="1">
      <alignment horizontal="left" vertical="top"/>
    </xf>
    <xf numFmtId="0" fontId="28" fillId="0" borderId="0" xfId="0" applyFont="1" applyAlignment="1">
      <alignment horizontal="right" vertical="top"/>
    </xf>
    <xf numFmtId="0" fontId="0" fillId="0" borderId="1" xfId="0" applyBorder="1" applyAlignment="1">
      <alignment horizontal="left"/>
    </xf>
    <xf numFmtId="0" fontId="20" fillId="0" borderId="31" xfId="0" applyFont="1" applyBorder="1" applyAlignment="1">
      <alignment horizontal="center" vertical="center" wrapText="1"/>
    </xf>
    <xf numFmtId="0" fontId="36" fillId="0" borderId="0" xfId="0" applyFont="1" applyAlignment="1">
      <alignment horizontal="left"/>
    </xf>
    <xf numFmtId="0" fontId="30" fillId="0" borderId="30" xfId="0" applyFont="1" applyBorder="1" applyAlignment="1">
      <alignment horizontal="left" vertical="top" wrapText="1"/>
    </xf>
    <xf numFmtId="0" fontId="18" fillId="0" borderId="0" xfId="1" applyFont="1" applyAlignment="1">
      <alignment wrapText="1"/>
    </xf>
    <xf numFmtId="0" fontId="2" fillId="0" borderId="31" xfId="0" applyFont="1" applyBorder="1" applyAlignment="1">
      <alignment horizontal="left" wrapText="1"/>
    </xf>
    <xf numFmtId="0" fontId="37" fillId="0" borderId="0" xfId="0" applyFont="1" applyAlignment="1">
      <alignment horizontal="left" wrapText="1"/>
    </xf>
    <xf numFmtId="0" fontId="4" fillId="2" borderId="9" xfId="0" applyFont="1" applyFill="1" applyBorder="1" applyAlignment="1">
      <alignment horizontal="center" vertical="center" wrapText="1"/>
    </xf>
    <xf numFmtId="0" fontId="38" fillId="0" borderId="18" xfId="0" applyFont="1" applyBorder="1" applyAlignment="1">
      <alignment horizontal="left"/>
    </xf>
    <xf numFmtId="0" fontId="38" fillId="0" borderId="19" xfId="0" applyFont="1" applyBorder="1" applyAlignment="1">
      <alignment horizontal="left"/>
    </xf>
    <xf numFmtId="0" fontId="38" fillId="0" borderId="14" xfId="0" applyFont="1" applyBorder="1" applyAlignment="1">
      <alignment horizontal="left"/>
    </xf>
    <xf numFmtId="0" fontId="38" fillId="0" borderId="20" xfId="0" applyFont="1" applyBorder="1" applyAlignment="1">
      <alignment horizontal="left"/>
    </xf>
    <xf numFmtId="0" fontId="38" fillId="0" borderId="1" xfId="0" applyFont="1" applyBorder="1" applyAlignment="1">
      <alignment horizontal="left"/>
    </xf>
    <xf numFmtId="0" fontId="38" fillId="0" borderId="15" xfId="0" applyFont="1" applyBorder="1" applyAlignment="1">
      <alignment horizontal="left"/>
    </xf>
    <xf numFmtId="0" fontId="38" fillId="0" borderId="32" xfId="0" applyFont="1" applyBorder="1" applyAlignment="1">
      <alignment horizontal="left"/>
    </xf>
    <xf numFmtId="0" fontId="38" fillId="0" borderId="9" xfId="0" applyFont="1" applyBorder="1" applyAlignment="1">
      <alignment horizontal="left"/>
    </xf>
    <xf numFmtId="0" fontId="38" fillId="0" borderId="33" xfId="0" applyFont="1" applyBorder="1" applyAlignment="1">
      <alignment horizontal="left"/>
    </xf>
    <xf numFmtId="0" fontId="38" fillId="0" borderId="21" xfId="0" applyFont="1" applyBorder="1" applyAlignment="1">
      <alignment horizontal="left" wrapText="1"/>
    </xf>
    <xf numFmtId="0" fontId="38" fillId="0" borderId="22" xfId="0" applyFont="1" applyBorder="1" applyAlignment="1">
      <alignment horizontal="left"/>
    </xf>
    <xf numFmtId="0" fontId="38" fillId="0" borderId="16" xfId="0" applyFont="1" applyBorder="1" applyAlignment="1">
      <alignment horizontal="left"/>
    </xf>
    <xf numFmtId="0" fontId="11" fillId="0" borderId="18" xfId="0" applyFont="1" applyBorder="1" applyAlignment="1">
      <alignment horizontal="left" vertical="top"/>
    </xf>
    <xf numFmtId="0" fontId="11" fillId="0" borderId="14" xfId="0" applyFont="1" applyBorder="1" applyAlignment="1">
      <alignment horizontal="left" vertical="top"/>
    </xf>
    <xf numFmtId="0" fontId="11" fillId="0" borderId="20" xfId="0" applyFont="1" applyBorder="1" applyAlignment="1">
      <alignment horizontal="left" vertical="top"/>
    </xf>
    <xf numFmtId="0" fontId="11" fillId="0" borderId="15" xfId="0" applyFont="1" applyBorder="1" applyAlignment="1">
      <alignment horizontal="left" vertical="top"/>
    </xf>
    <xf numFmtId="0" fontId="11" fillId="0" borderId="21" xfId="0" applyFont="1" applyBorder="1" applyAlignment="1">
      <alignment horizontal="left" vertical="top"/>
    </xf>
    <xf numFmtId="0" fontId="11" fillId="0" borderId="16" xfId="0" applyFont="1" applyBorder="1" applyAlignment="1">
      <alignment horizontal="left" vertical="top"/>
    </xf>
    <xf numFmtId="0" fontId="0" fillId="0" borderId="0" xfId="0" applyAlignment="1">
      <alignment horizontal="left" vertical="top"/>
    </xf>
    <xf numFmtId="0" fontId="40" fillId="3" borderId="24" xfId="0" applyFont="1" applyFill="1" applyBorder="1" applyAlignment="1">
      <alignment horizontal="center" vertical="center" wrapText="1"/>
    </xf>
    <xf numFmtId="0" fontId="40" fillId="0" borderId="10" xfId="0" applyFont="1" applyBorder="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43" fillId="0" borderId="1" xfId="1" applyFont="1" applyBorder="1" applyAlignment="1">
      <alignment horizontal="center" vertical="center"/>
    </xf>
    <xf numFmtId="0" fontId="18" fillId="0" borderId="34" xfId="1" applyFont="1" applyBorder="1"/>
    <xf numFmtId="0" fontId="23" fillId="0" borderId="0" xfId="0" applyFont="1" applyAlignment="1">
      <alignment horizontal="left" wrapText="1"/>
    </xf>
    <xf numFmtId="0" fontId="2" fillId="0" borderId="1" xfId="0" applyFont="1" applyBorder="1" applyAlignment="1">
      <alignment horizontal="center" vertical="center" textRotation="255" wrapText="1"/>
    </xf>
    <xf numFmtId="0" fontId="2" fillId="0" borderId="4" xfId="0" applyFont="1" applyBorder="1" applyAlignment="1">
      <alignment horizontal="center"/>
    </xf>
    <xf numFmtId="0" fontId="2" fillId="0" borderId="25"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left" vertical="top" wrapText="1"/>
    </xf>
    <xf numFmtId="0" fontId="2" fillId="0" borderId="26" xfId="0" applyFont="1" applyBorder="1" applyAlignment="1">
      <alignment horizontal="left" vertical="top" wrapText="1"/>
    </xf>
    <xf numFmtId="0" fontId="2" fillId="0" borderId="7" xfId="0" applyFont="1" applyBorder="1" applyAlignment="1">
      <alignment horizontal="left" vertical="top" wrapText="1"/>
    </xf>
    <xf numFmtId="0" fontId="2" fillId="0" borderId="3" xfId="0" applyFont="1" applyBorder="1" applyAlignment="1">
      <alignment horizontal="left" vertical="top" wrapText="1"/>
    </xf>
    <xf numFmtId="0" fontId="2" fillId="0" borderId="0" xfId="0" applyFont="1" applyAlignment="1">
      <alignment horizontal="left" vertical="top" wrapText="1"/>
    </xf>
    <xf numFmtId="0" fontId="2" fillId="0" borderId="8" xfId="0" applyFont="1" applyBorder="1" applyAlignment="1">
      <alignment horizontal="left" vertical="top" wrapText="1"/>
    </xf>
    <xf numFmtId="0" fontId="2" fillId="0" borderId="27" xfId="0" applyFont="1" applyBorder="1" applyAlignment="1">
      <alignment horizontal="left" vertical="top" wrapText="1"/>
    </xf>
    <xf numFmtId="0" fontId="2" fillId="0" borderId="28" xfId="0" applyFont="1" applyBorder="1" applyAlignment="1">
      <alignment horizontal="left" vertical="top" wrapText="1"/>
    </xf>
    <xf numFmtId="0" fontId="2" fillId="0" borderId="29" xfId="0" applyFont="1" applyBorder="1" applyAlignment="1">
      <alignment horizontal="left" vertical="top" wrapText="1"/>
    </xf>
    <xf numFmtId="0" fontId="42" fillId="0" borderId="4" xfId="0" applyFont="1" applyBorder="1" applyAlignment="1">
      <alignment horizontal="center" vertical="center"/>
    </xf>
    <xf numFmtId="0" fontId="42" fillId="0" borderId="25" xfId="0" applyFont="1" applyBorder="1" applyAlignment="1">
      <alignment horizontal="center" vertical="center"/>
    </xf>
    <xf numFmtId="0" fontId="42" fillId="0" borderId="5" xfId="0" applyFont="1" applyBorder="1" applyAlignment="1">
      <alignment horizontal="center" vertical="center"/>
    </xf>
    <xf numFmtId="0" fontId="42" fillId="3" borderId="6" xfId="0" applyFont="1" applyFill="1" applyBorder="1" applyAlignment="1">
      <alignment horizontal="center" vertical="center"/>
    </xf>
    <xf numFmtId="0" fontId="42" fillId="3" borderId="7" xfId="0" applyFont="1" applyFill="1" applyBorder="1" applyAlignment="1">
      <alignment horizontal="center" vertical="center"/>
    </xf>
    <xf numFmtId="0" fontId="7" fillId="0" borderId="35" xfId="1" applyFont="1" applyBorder="1" applyAlignment="1">
      <alignment vertical="center" wrapText="1"/>
    </xf>
    <xf numFmtId="0" fontId="44" fillId="0" borderId="1" xfId="1" applyFont="1" applyBorder="1" applyAlignment="1">
      <alignment horizontal="center" vertical="center" wrapText="1"/>
    </xf>
    <xf numFmtId="0" fontId="44" fillId="0" borderId="34" xfId="1" applyFont="1" applyBorder="1" applyAlignment="1">
      <alignment horizontal="center" vertical="center" wrapText="1"/>
    </xf>
    <xf numFmtId="0" fontId="16" fillId="3" borderId="1" xfId="0" applyFont="1" applyFill="1" applyBorder="1" applyAlignment="1">
      <alignment horizontal="center" vertical="center"/>
    </xf>
    <xf numFmtId="0" fontId="19" fillId="3" borderId="9"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8" fillId="0" borderId="3" xfId="0" applyFont="1" applyBorder="1" applyAlignment="1">
      <alignment horizontal="left" vertical="top"/>
    </xf>
    <xf numFmtId="0" fontId="28" fillId="0" borderId="0" xfId="0" applyFont="1" applyAlignment="1">
      <alignment horizontal="left" vertical="top"/>
    </xf>
    <xf numFmtId="0" fontId="28" fillId="0" borderId="8" xfId="0" applyFont="1" applyBorder="1" applyAlignment="1">
      <alignment horizontal="left" vertical="top"/>
    </xf>
    <xf numFmtId="0" fontId="28" fillId="0" borderId="3" xfId="0" applyFont="1" applyBorder="1" applyAlignment="1">
      <alignment horizontal="left" vertical="top" wrapText="1"/>
    </xf>
    <xf numFmtId="0" fontId="28" fillId="0" borderId="6" xfId="0" applyFont="1" applyBorder="1" applyAlignment="1">
      <alignment horizontal="left" vertical="top" wrapText="1"/>
    </xf>
    <xf numFmtId="0" fontId="28" fillId="0" borderId="26" xfId="0" applyFont="1" applyBorder="1" applyAlignment="1">
      <alignment horizontal="left" vertical="top" wrapText="1"/>
    </xf>
    <xf numFmtId="0" fontId="28" fillId="0" borderId="7" xfId="0" applyFont="1" applyBorder="1" applyAlignment="1">
      <alignment horizontal="left" vertical="top" wrapText="1"/>
    </xf>
    <xf numFmtId="0" fontId="10" fillId="0" borderId="0" xfId="0" applyFont="1" applyAlignment="1">
      <alignment horizontal="center"/>
    </xf>
    <xf numFmtId="0" fontId="10" fillId="0" borderId="0" xfId="0" applyFont="1" applyAlignment="1">
      <alignment horizontal="center" vertical="top"/>
    </xf>
    <xf numFmtId="0" fontId="28" fillId="0" borderId="0" xfId="0" applyFont="1" applyAlignment="1">
      <alignment horizontal="left" vertical="top" wrapText="1"/>
    </xf>
    <xf numFmtId="0" fontId="28" fillId="0" borderId="0" xfId="0" applyFont="1" applyAlignment="1">
      <alignment horizontal="right" vertical="top"/>
    </xf>
    <xf numFmtId="0" fontId="28" fillId="0" borderId="27" xfId="0" applyFont="1" applyBorder="1" applyAlignment="1">
      <alignment horizontal="left" vertical="top" wrapText="1"/>
    </xf>
    <xf numFmtId="0" fontId="28" fillId="0" borderId="28" xfId="0" applyFont="1" applyBorder="1" applyAlignment="1">
      <alignment horizontal="left" vertical="top" wrapText="1"/>
    </xf>
    <xf numFmtId="0" fontId="28" fillId="0" borderId="29" xfId="0" applyFont="1" applyBorder="1" applyAlignment="1">
      <alignment horizontal="left" vertical="top" wrapText="1"/>
    </xf>
    <xf numFmtId="0" fontId="35" fillId="0" borderId="0" xfId="0" applyFont="1" applyAlignment="1">
      <alignment horizontal="left" vertical="top"/>
    </xf>
    <xf numFmtId="0" fontId="28" fillId="0" borderId="2" xfId="0" applyFont="1" applyBorder="1" applyAlignment="1">
      <alignment horizontal="left" vertical="top" wrapText="1"/>
    </xf>
    <xf numFmtId="0" fontId="34" fillId="0" borderId="6" xfId="0" applyFont="1" applyBorder="1" applyAlignment="1">
      <alignment horizontal="left" vertical="top" wrapText="1"/>
    </xf>
    <xf numFmtId="0" fontId="34" fillId="0" borderId="26" xfId="0" applyFont="1" applyBorder="1" applyAlignment="1">
      <alignment horizontal="left" vertical="top" wrapText="1"/>
    </xf>
    <xf numFmtId="0" fontId="34" fillId="0" borderId="7" xfId="0" applyFont="1" applyBorder="1" applyAlignment="1">
      <alignment horizontal="left" vertical="top" wrapText="1"/>
    </xf>
    <xf numFmtId="0" fontId="34" fillId="0" borderId="3" xfId="0" applyFont="1" applyBorder="1" applyAlignment="1">
      <alignment horizontal="left" vertical="top" wrapText="1"/>
    </xf>
    <xf numFmtId="0" fontId="34" fillId="0" borderId="0" xfId="0" applyFont="1" applyAlignment="1">
      <alignment horizontal="left" vertical="top" wrapText="1"/>
    </xf>
    <xf numFmtId="0" fontId="34" fillId="0" borderId="8" xfId="0" applyFont="1" applyBorder="1" applyAlignment="1">
      <alignment horizontal="left" vertical="top" wrapText="1"/>
    </xf>
    <xf numFmtId="0" fontId="34" fillId="0" borderId="4" xfId="0" applyFont="1" applyBorder="1" applyAlignment="1">
      <alignment horizontal="left" vertical="top" wrapText="1"/>
    </xf>
    <xf numFmtId="0" fontId="34" fillId="0" borderId="25" xfId="0" applyFont="1" applyBorder="1" applyAlignment="1">
      <alignment horizontal="left" vertical="top" wrapText="1"/>
    </xf>
    <xf numFmtId="0" fontId="28" fillId="0" borderId="8" xfId="0" applyFont="1" applyBorder="1" applyAlignment="1">
      <alignment horizontal="left" vertical="top" wrapText="1"/>
    </xf>
  </cellXfs>
  <cellStyles count="2">
    <cellStyle name="一般" xfId="0" builtinId="0"/>
    <cellStyle name="一般 2" xfId="1" xr:uid="{A0D876ED-3420-4468-84A3-4EE09B288729}"/>
  </cellStyles>
  <dxfs count="32">
    <dxf>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font>
        <strike val="0"/>
        <outline val="0"/>
        <shadow val="0"/>
        <u val="none"/>
        <vertAlign val="baseline"/>
        <color auto="1"/>
        <name val="新細明體"/>
        <family val="1"/>
        <charset val="136"/>
        <scheme val="minor"/>
      </font>
      <alignment horizontal="left" vertical="top" textRotation="0" wrapText="1" indent="0" justifyLastLine="0" shrinkToFit="0" readingOrder="0"/>
    </dxf>
    <dxf>
      <font>
        <strike val="0"/>
        <outline val="0"/>
        <shadow val="0"/>
        <u val="none"/>
        <vertAlign val="baseline"/>
        <color auto="1"/>
        <name val="新細明體"/>
        <family val="1"/>
        <charset val="136"/>
        <scheme val="minor"/>
      </font>
      <numFmt numFmtId="0" formatCode="General"/>
      <alignment horizontal="left" vertical="top" textRotation="0" wrapText="1" indent="0" justifyLastLine="0" shrinkToFit="0" readingOrder="0"/>
    </dxf>
    <dxf>
      <alignment horizontal="left" vertical="top"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1"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2"/>
        <color auto="1"/>
        <name val="標楷體"/>
        <family val="4"/>
        <charset val="136"/>
        <scheme val="none"/>
      </font>
      <alignment horizontal="left" vertical="bottom" textRotation="0" wrapText="0" indent="0" justifyLastLine="0" shrinkToFit="0" readingOrder="0"/>
    </dxf>
    <dxf>
      <font>
        <sz val="12"/>
      </font>
    </dxf>
    <dxf>
      <font>
        <sz val="12"/>
      </font>
    </dxf>
    <dxf>
      <font>
        <sz val="12"/>
      </font>
    </dxf>
    <dxf>
      <font>
        <sz val="12"/>
      </font>
    </dxf>
    <dxf>
      <font>
        <sz val="12"/>
      </font>
    </dxf>
    <dxf>
      <font>
        <name val="標楷體"/>
        <family val="4"/>
        <charset val="136"/>
      </font>
    </dxf>
    <dxf>
      <font>
        <name val="標楷體"/>
        <family val="4"/>
        <charset val="136"/>
      </font>
    </dxf>
    <dxf>
      <font>
        <name val="標楷體"/>
        <family val="4"/>
        <charset val="136"/>
      </font>
    </dxf>
    <dxf>
      <font>
        <name val="標楷體"/>
        <family val="4"/>
        <charset val="136"/>
      </font>
    </dxf>
    <dxf>
      <font>
        <name val="標楷體"/>
        <family val="4"/>
        <charset val="136"/>
      </font>
    </dxf>
    <dxf>
      <font>
        <b val="0"/>
        <i val="0"/>
        <strike val="0"/>
        <condense val="0"/>
        <extend val="0"/>
        <outline val="0"/>
        <shadow val="0"/>
        <u val="none"/>
        <vertAlign val="baseline"/>
        <sz val="11"/>
        <color auto="1"/>
        <name val="細明體"/>
        <family val="3"/>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auto="1"/>
        <name val="細明體"/>
        <family val="2"/>
        <charset val="136"/>
        <scheme val="none"/>
      </font>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powerPivotData" Target="model/item.data"/></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137160</xdr:colOff>
          <xdr:row>3</xdr:row>
          <xdr:rowOff>60960</xdr:rowOff>
        </xdr:from>
        <xdr:to>
          <xdr:col>6</xdr:col>
          <xdr:colOff>1821180</xdr:colOff>
          <xdr:row>5</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執行巨集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11</xdr:row>
          <xdr:rowOff>38100</xdr:rowOff>
        </xdr:from>
        <xdr:to>
          <xdr:col>4</xdr:col>
          <xdr:colOff>1447800</xdr:colOff>
          <xdr:row>12</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轉出調閱清單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2560320</xdr:colOff>
          <xdr:row>11</xdr:row>
          <xdr:rowOff>68580</xdr:rowOff>
        </xdr:from>
        <xdr:to>
          <xdr:col>8</xdr:col>
          <xdr:colOff>617220</xdr:colOff>
          <xdr:row>12</xdr:row>
          <xdr:rowOff>259080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細明體"/>
                  <a:ea typeface="細明體"/>
                </a:rPr>
                <a:t>轉出稽核報告</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cob_wang" id="{18990302-9DA9-49FE-9409-F66EED6726CD}" userId="S::jacob_wang@pxpayplus.com::1a77e855-de72-481c-b084-c93220d04428" providerId="AD"/>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cob" refreshedDate="44868.435910879627" backgroundQuery="1" createdVersion="8" refreshedVersion="8" minRefreshableVersion="3" recordCount="0" supportSubquery="1" supportAdvancedDrill="1" xr:uid="{53DF8916-352F-4B07-A99B-14F851A2B04F}">
  <cacheSource type="external" connectionId="2"/>
  <cacheFields count="2">
    <cacheField name="[查核作業].[查核作業].[查核作業]" caption="查核作業" numFmtId="0" hierarchy="1" level="1">
      <sharedItems count="4">
        <s v="使用者徵審管理作業"/>
        <s v="委外管理作業管理"/>
        <s v="通路商付款及入帳作業"/>
        <s v="通路商業務洽談與評估作業"/>
      </sharedItems>
    </cacheField>
    <cacheField name="[查核作業].[查核項目].[查核項目]" caption="查核項目" numFmtId="0" hierarchy="2" level="1">
      <sharedItems count="19">
        <s v="本公司受理線上使用者申請時，是否依其留存身分資料於確認後提供對應之電子支付帳戶，且各類型帳戶收付額度以定額為限。"/>
        <s v="本公司線上申請之使用者欲調整交易額度是否符合相關規定。"/>
        <s v="使用者之資料是否存入全支付後台管理系統，且使用者收款額度或額度調整等事項是否保留紀錄。"/>
        <s v="若使用者之收款額度如有逾越一般管理額度時，是否經過權責主管核准後並保留相關紀錄。"/>
        <s v="本公司代收以新臺幣繳納儲值款項作業委外之管理，是否符合相關規範辦理。"/>
        <s v="本公司收付訊息處理作業委外之管理，是否符合相關規範辦理。"/>
        <s v="有關資訊作業委外相關事項是否依據本公司「第三方服務資訊安全管理辦法」之要求據以執行。"/>
        <s v="業務部是否針對該代收以新臺幣繳納儲值款項作業業務至少每半年對受託機構辦理相關檢核作業。"/>
        <s v="業務部是否針對該收付訊息處理作業委外業務至少每半年對受託機構辦理相關檢核作業。"/>
        <s v="若有應收帳款因退貨或折讓，是否由業務部開立「應收帳款異動通知申請單」及「客戶退貨申請單」後交由財務部進行帳務處理。"/>
        <s v="通路商提供之相關憑證內容是否與合約內容相符。"/>
        <s v="給付通路商之金額成本認列是否符合相關法規要求。"/>
        <s v="業務部是否提供客戶付款明細供財務部作為沖帳收款之依據。"/>
        <s v="與通路商對帳之資訊是否與實際入帳金額一致。"/>
        <s v="本公司通路商業務模式及資料是否有列表控管。"/>
        <s v="是否定期評估通路商效益，且評估後若有未符合預期者是否提出改善方式。"/>
        <s v="是否適時審視各類通路商費率等條件以保障本公司權益。"/>
        <s v="業務部提供業務合作分析之內容是否符合公司營運方向。"/>
        <s v="與通路商合約簽定前是否有充分與相關單位溝通。"/>
      </sharedItems>
    </cacheField>
  </cacheFields>
  <cacheHierarchies count="7">
    <cacheHierarchy uniqueName="[作業清單].[作業清單]" caption="作業清單" attribute="1" defaultMemberUniqueName="[作業清單].[作業清單].[All]" allUniqueName="[作業清單].[作業清單].[All]" dimensionUniqueName="[作業清單]" displayFolder="" count="0" memberValueDatatype="130" unbalanced="0"/>
    <cacheHierarchy uniqueName="[查核作業].[查核作業]" caption="查核作業" attribute="1" defaultMemberUniqueName="[查核作業].[查核作業].[All]" allUniqueName="[查核作業].[查核作業].[All]" dimensionUniqueName="[查核作業]" displayFolder="" count="2" memberValueDatatype="130" unbalanced="0">
      <fieldsUsage count="2">
        <fieldUsage x="-1"/>
        <fieldUsage x="0"/>
      </fieldsUsage>
    </cacheHierarchy>
    <cacheHierarchy uniqueName="[查核作業].[查核項目]" caption="查核項目" attribute="1" defaultMemberUniqueName="[查核作業].[查核項目].[All]" allUniqueName="[查核作業].[查核項目].[All]" dimensionUniqueName="[查核作業]" displayFolder="" count="2" memberValueDatatype="130" unbalanced="0">
      <fieldsUsage count="2">
        <fieldUsage x="-1"/>
        <fieldUsage x="1"/>
      </fieldsUsage>
    </cacheHierarchy>
    <cacheHierarchy uniqueName="[查核作業].[實際執行事項說明]" caption="實際執行事項說明" attribute="1" defaultMemberUniqueName="[查核作業].[實際執行事項說明].[All]" allUniqueName="[查核作業].[實際執行事項說明].[All]" dimensionUniqueName="[查核作業]" displayFolder="" count="0" memberValueDatatype="130" unbalanced="0"/>
    <cacheHierarchy uniqueName="[Measures].[__XL_Count 作業清單]" caption="__XL_Count 作業清單" measure="1" displayFolder="" measureGroup="作業清單" count="0" hidden="1"/>
    <cacheHierarchy uniqueName="[Measures].[__XL_Count 查核作業]" caption="__XL_Count 查核作業" measure="1" displayFolder="" measureGroup="查核作業" count="0" hidden="1"/>
    <cacheHierarchy uniqueName="[Measures].[__No measures defined]" caption="__No measures defined" measure="1" displayFolder="" count="0" hidden="1"/>
  </cacheHierarchies>
  <kpis count="0"/>
  <dimensions count="3">
    <dimension measure="1" name="Measures" uniqueName="[Measures]" caption="Measures"/>
    <dimension name="作業清單" uniqueName="[作業清單]" caption="作業清單"/>
    <dimension name="查核作業" uniqueName="[查核作業]" caption="查核作業"/>
  </dimensions>
  <measureGroups count="2">
    <measureGroup name="作業清單" caption="作業清單"/>
    <measureGroup name="查核作業" caption="查核作業"/>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1F33AD-1EAE-434B-A6CC-BBA247BDD3C7}" name="樞紐分析表4" cacheId="0" applyNumberFormats="0" applyBorderFormats="0" applyFontFormats="0" applyPatternFormats="0" applyAlignmentFormats="0" applyWidthHeightFormats="1" dataCaption="值" updatedVersion="8" minRefreshableVersion="3" showDrill="0" useAutoFormatting="1" rowGrandTotals="0" colGrandTotals="0" itemPrintTitles="1" createdVersion="8" indent="0" compact="0" outline="1" outlineData="1" compactData="0" multipleFieldFilters="0">
  <location ref="A1:B24" firstHeaderRow="1" firstDataRow="1" firstDataCol="2"/>
  <pivotFields count="2">
    <pivotField axis="axisRow" compact="0" allDrilled="1" showAll="0" dataSourceSort="1" defaultSubtotal="0" defaultAttributeDrillState="1">
      <items count="4">
        <item x="0"/>
        <item x="1"/>
        <item x="2"/>
        <item x="3"/>
      </items>
    </pivotField>
    <pivotField axis="axisRow" compact="0" allDrilled="1" showAll="0" dataSourceSort="1" defaultSubtotal="0" defaultAttributeDrillState="1">
      <items count="19">
        <item x="0"/>
        <item x="1"/>
        <item x="2"/>
        <item x="3"/>
        <item x="4"/>
        <item x="5"/>
        <item x="6"/>
        <item x="7"/>
        <item x="8"/>
        <item x="9"/>
        <item x="10"/>
        <item x="11"/>
        <item x="12"/>
        <item x="13"/>
        <item x="14"/>
        <item x="15"/>
        <item x="16"/>
        <item x="17"/>
        <item x="18"/>
      </items>
    </pivotField>
  </pivotFields>
  <rowFields count="2">
    <field x="0"/>
    <field x="1"/>
  </rowFields>
  <rowItems count="23">
    <i>
      <x/>
    </i>
    <i r="1">
      <x/>
    </i>
    <i r="1">
      <x v="1"/>
    </i>
    <i r="1">
      <x v="2"/>
    </i>
    <i r="1">
      <x v="3"/>
    </i>
    <i>
      <x v="1"/>
    </i>
    <i r="1">
      <x v="4"/>
    </i>
    <i r="1">
      <x v="5"/>
    </i>
    <i r="1">
      <x v="6"/>
    </i>
    <i r="1">
      <x v="7"/>
    </i>
    <i r="1">
      <x v="8"/>
    </i>
    <i>
      <x v="2"/>
    </i>
    <i r="1">
      <x v="9"/>
    </i>
    <i r="1">
      <x v="10"/>
    </i>
    <i r="1">
      <x v="11"/>
    </i>
    <i r="1">
      <x v="12"/>
    </i>
    <i r="1">
      <x v="13"/>
    </i>
    <i>
      <x v="3"/>
    </i>
    <i r="1">
      <x v="14"/>
    </i>
    <i r="1">
      <x v="15"/>
    </i>
    <i r="1">
      <x v="16"/>
    </i>
    <i r="1">
      <x v="17"/>
    </i>
    <i r="1">
      <x v="18"/>
    </i>
  </rowItems>
  <formats count="10">
    <format dxfId="26">
      <pivotArea type="all" dataOnly="0" outline="0" fieldPosition="0"/>
    </format>
    <format dxfId="25">
      <pivotArea field="0" type="button" dataOnly="0" labelOnly="1" outline="0" axis="axisRow" fieldPosition="0"/>
    </format>
    <format dxfId="24">
      <pivotArea field="1" type="button" dataOnly="0" labelOnly="1" outline="0" axis="axisRow" fieldPosition="1"/>
    </format>
    <format dxfId="23">
      <pivotArea dataOnly="0" labelOnly="1" outline="0" fieldPosition="0">
        <references count="1">
          <reference field="0" count="0"/>
        </references>
      </pivotArea>
    </format>
    <format dxfId="22">
      <pivotArea dataOnly="0" labelOnly="1" outline="0" fieldPosition="0">
        <references count="2">
          <reference field="0" count="0" selected="0"/>
          <reference field="1" count="0"/>
        </references>
      </pivotArea>
    </format>
    <format dxfId="21">
      <pivotArea type="all" dataOnly="0" outline="0" fieldPosition="0"/>
    </format>
    <format dxfId="20">
      <pivotArea field="0" type="button" dataOnly="0" labelOnly="1" outline="0" axis="axisRow" fieldPosition="0"/>
    </format>
    <format dxfId="19">
      <pivotArea field="1" type="button" dataOnly="0" labelOnly="1" outline="0" axis="axisRow" fieldPosition="1"/>
    </format>
    <format dxfId="18">
      <pivotArea dataOnly="0" labelOnly="1" outline="0" fieldPosition="0">
        <references count="1">
          <reference field="0" count="0"/>
        </references>
      </pivotArea>
    </format>
    <format dxfId="17">
      <pivotArea dataOnly="0" labelOnly="1" outline="0" fieldPosition="0">
        <references count="2">
          <reference field="0" count="0" selected="0"/>
          <reference field="1" count="0"/>
        </references>
      </pivotArea>
    </format>
  </formats>
  <pivotHierarchies count="7">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查詢 - 查核作業">
        <x15:activeTabTopLevelEntity name="[查核作業]"/>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1" connectionId="3" xr16:uid="{F715B71D-4ED0-4437-B802-DAFC0A67BF9E}" autoFormatId="16" applyNumberFormats="0" applyBorderFormats="0" applyFontFormats="0" applyPatternFormats="0" applyAlignmentFormats="0" applyWidthHeightFormats="0">
  <queryTableRefresh nextId="12">
    <queryTableFields count="4">
      <queryTableField id="6" name="整理前查核循環" tableColumnId="4"/>
      <queryTableField id="3" name="內部控制制度" tableColumnId="3"/>
      <queryTableField id="1" name="外部法規" tableColumnId="1"/>
      <queryTableField id="2" name="查核循環"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2" backgroundRefresh="0" connectionId="1" xr16:uid="{014AFEC0-85D3-48AE-A9AB-6A5607E64A37}" autoFormatId="16" applyNumberFormats="0" applyBorderFormats="0" applyFontFormats="0" applyPatternFormats="0" applyAlignmentFormats="0" applyWidthHeightFormats="0">
  <queryTableRefresh nextId="2">
    <queryTableFields count="1">
      <queryTableField id="1" name="作業清單" tableColumnId="1"/>
    </queryTableFields>
  </queryTableRefresh>
  <extLst>
    <ext xmlns:x15="http://schemas.microsoft.com/office/spreadsheetml/2010/11/main" uri="{883FBD77-0823-4a55-B5E3-86C4891E6966}">
      <x15:queryTable sourceDataName="查詢 - 作業清單"/>
    </ext>
  </extLst>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22B7F4-E0AF-427C-B734-6BE5EFA15B70}" name="表格2" displayName="表格2" ref="C14:E33" totalsRowShown="0" headerRowDxfId="31">
  <autoFilter ref="C14:E33" xr:uid="{3922B7F4-E0AF-427C-B734-6BE5EFA15B70}"/>
  <tableColumns count="3">
    <tableColumn id="1" xr3:uid="{042EFD47-16F7-40E8-9BD4-3B6502E9CBB2}" name="查核作業"/>
    <tableColumn id="2" xr3:uid="{E32D77D7-7C92-401E-ADA9-9C0C480362B1}" name="查核項目" dataDxfId="30"/>
    <tableColumn id="3" xr3:uid="{91C250F7-1402-4403-AF13-A096D91F9E0E}" name="實際執行事項說明" dataDxfId="2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29E37F2-7060-4171-9C82-EB3C59F05A4D}" name="表格3" displayName="表格3" ref="G14:I22" totalsRowShown="0" headerRowDxfId="28">
  <autoFilter ref="G14:I22" xr:uid="{329E37F2-7060-4171-9C82-EB3C59F05A4D}"/>
  <tableColumns count="3">
    <tableColumn id="1" xr3:uid="{833D28F1-283B-4201-B563-083D83F1D653}" name="內部控制制度" dataDxfId="27"/>
    <tableColumn id="2" xr3:uid="{869514D2-55BA-42A9-8453-5C8C743A53FE}" name="外部法規"/>
    <tableColumn id="3" xr3:uid="{36999E1E-5DBA-4A03-88B3-92D940456E40}" name="查核循環"/>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72E0B5F-1AC0-418F-9071-E86C1FC47974}" name="引用法規" displayName="引用法規" ref="F4:I12" tableType="queryTable" totalsRowShown="0" headerRowDxfId="16" dataDxfId="15">
  <autoFilter ref="F4:I12" xr:uid="{572E0B5F-1AC0-418F-9071-E86C1FC47974}"/>
  <tableColumns count="4">
    <tableColumn id="4" xr3:uid="{78A544A1-6082-434E-8254-847F0BA807DD}" uniqueName="4" name="整理前查核循環" queryTableFieldId="6" dataDxfId="14"/>
    <tableColumn id="3" xr3:uid="{70B23B4C-ED83-4A60-9CAD-4FF22670F73E}" uniqueName="3" name="內部控制制度" queryTableFieldId="3" dataDxfId="13"/>
    <tableColumn id="1" xr3:uid="{9F435581-4473-4DC3-805B-4336552BA974}" uniqueName="1" name="外部法規" queryTableFieldId="1" dataDxfId="12"/>
    <tableColumn id="2" xr3:uid="{2A4C5A88-593E-4AC1-B695-E3684A84CE2E}" uniqueName="2" name="查核循環" queryTableFieldId="2" dataDxfId="1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02DC08-037F-4488-B9A9-5933D0991475}" name="作業清單" displayName="作業清單" ref="K4:K8" tableType="queryTable" totalsRowShown="0" headerRowDxfId="10" dataDxfId="9">
  <autoFilter ref="K4:K8" xr:uid="{AC02DC08-037F-4488-B9A9-5933D0991475}"/>
  <tableColumns count="1">
    <tableColumn id="1" xr3:uid="{8489CE2B-9D23-450B-96C6-E1C223EA739B}" uniqueName="1" name="作業清單" queryTableFieldId="1" dataDxf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C224517-C8DC-423D-8C10-56CD86D326A4}" name="表格9" displayName="表格9" ref="A2:F9" totalsRowShown="0" headerRowDxfId="7" dataDxfId="6">
  <autoFilter ref="A2:F9" xr:uid="{FC224517-C8DC-423D-8C10-56CD86D326A4}"/>
  <sortState xmlns:xlrd2="http://schemas.microsoft.com/office/spreadsheetml/2017/richdata2" ref="A3:F9">
    <sortCondition ref="B2:B9"/>
  </sortState>
  <tableColumns count="6">
    <tableColumn id="1" xr3:uid="{BDFB6A49-B9A8-41AE-889B-03419D217763}" name="查核作業" dataDxfId="5"/>
    <tableColumn id="6" xr3:uid="{8F5C8316-F680-4F27-BBDD-D517258C845F}" name="順序" dataDxfId="4"/>
    <tableColumn id="2" xr3:uid="{2A72019B-F2E9-4FC9-A3B1-6A6C7C694A5E}" name="查核項目" dataDxfId="3">
      <calculatedColumnFormula>工作底稿!B5</calculatedColumnFormula>
    </tableColumn>
    <tableColumn id="3" xr3:uid="{8336B2D8-F00C-41AE-81E0-796A935CDCBC}" name="查核內容" dataDxfId="2">
      <calculatedColumnFormula>工作底稿!F5</calculatedColumnFormula>
    </tableColumn>
    <tableColumn id="4" xr3:uid="{DAFB0FF4-9EB4-4320-8B23-584E708E2B8A}" name="報告內容" dataDxfId="1"/>
    <tableColumn id="5" xr3:uid="{65563071-2DB7-47A7-A61D-39C0162AA56D}" name="依輸出內容" dataDxfId="0">
      <calculatedColumnFormula>IF(LEN(表格9[[#This Row],[報告內容]])&gt;0,Temporary!T5&amp;Temporary!S5&amp;Temporary!Q5&amp;表格9[[#This Row],[報告內容]],"")</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2" dT="2022-10-14T06:24:11.44" personId="{18990302-9DA9-49FE-9409-F66EED6726CD}" id="{A6A5DA66-EF20-45E9-89C9-44FA0180F6F4}">
    <text>IF(LEN(Variable!B14&amp;Variable!C14)&gt;4,Variable!B14&amp;Variable!C14,"")</text>
  </threadedComment>
  <threadedComment ref="F2" dT="2022-10-14T06:48:28.89" personId="{18990302-9DA9-49FE-9409-F66EED6726CD}" id="{A8220C3C-A516-487D-AC12-492DDF2C475E}">
    <text>IF(LEN([@報告內容])&gt;0,Temporary!S5&amp;Temporary!Q5&amp;[@報告內容],"")</text>
  </threadedComment>
</ThreadedComments>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B40A3-DF6A-4320-B722-DB756458FFAE}">
  <sheetPr codeName="工作表2">
    <tabColor rgb="FFFFFF00"/>
  </sheetPr>
  <dimension ref="B1:I134"/>
  <sheetViews>
    <sheetView tabSelected="1" topLeftCell="C1" zoomScaleNormal="100" workbookViewId="0">
      <selection activeCell="D6" sqref="D6"/>
    </sheetView>
  </sheetViews>
  <sheetFormatPr defaultRowHeight="21.6" customHeight="1"/>
  <cols>
    <col min="1" max="1" width="6.88671875" customWidth="1"/>
    <col min="2" max="2" width="20.33203125" hidden="1" customWidth="1"/>
    <col min="3" max="3" width="30.6640625" customWidth="1"/>
    <col min="4" max="4" width="45.44140625" bestFit="1" customWidth="1"/>
    <col min="5" max="5" width="44.109375" bestFit="1" customWidth="1"/>
    <col min="6" max="6" width="6.88671875" customWidth="1"/>
    <col min="7" max="7" width="41.33203125" customWidth="1"/>
    <col min="8" max="8" width="48.77734375" customWidth="1"/>
    <col min="9" max="9" width="18.44140625" customWidth="1"/>
  </cols>
  <sheetData>
    <row r="1" spans="2:9" ht="22.2" customHeight="1"/>
    <row r="2" spans="2:9" ht="21.6" customHeight="1">
      <c r="C2" s="25" t="s">
        <v>39</v>
      </c>
      <c r="G2" s="24" t="s">
        <v>44</v>
      </c>
    </row>
    <row r="3" spans="2:9" ht="21.6" customHeight="1" thickBot="1">
      <c r="C3" s="22" t="s">
        <v>40</v>
      </c>
      <c r="G3" s="22" t="s">
        <v>24</v>
      </c>
    </row>
    <row r="4" spans="2:9" ht="21.6" customHeight="1">
      <c r="C4" s="61" t="s">
        <v>9</v>
      </c>
      <c r="D4" s="62" t="s">
        <v>12</v>
      </c>
      <c r="E4" s="63" t="s">
        <v>13</v>
      </c>
    </row>
    <row r="5" spans="2:9" ht="21.6" customHeight="1">
      <c r="C5" s="64" t="s">
        <v>10</v>
      </c>
      <c r="D5" s="65" t="s">
        <v>206</v>
      </c>
      <c r="E5" s="66"/>
    </row>
    <row r="6" spans="2:9" ht="21.6" customHeight="1">
      <c r="C6" s="64" t="s">
        <v>17</v>
      </c>
      <c r="D6" s="65" t="str">
        <f>C6&amp;"："&amp;"111年01月01日~" &amp;RIGHT(D5,10)</f>
        <v>查核範圍期間：111年01月01日~111年09月31日</v>
      </c>
      <c r="E6" s="66"/>
    </row>
    <row r="7" spans="2:9" ht="21.6" customHeight="1">
      <c r="C7" s="64" t="s">
        <v>11</v>
      </c>
      <c r="D7" s="65" t="str">
        <f ca="1">"中華民國"&amp;YEAR(TODAY())-1911&amp;"年" &amp; MONTH(TODAY()) &amp; "月" &amp; DAY(TODAY()) &amp; "日"</f>
        <v>中華民國111年11月3日</v>
      </c>
      <c r="E7" s="66"/>
    </row>
    <row r="8" spans="2:9" ht="21.6" customHeight="1">
      <c r="C8" s="64" t="s">
        <v>14</v>
      </c>
      <c r="D8" s="65" t="s">
        <v>121</v>
      </c>
      <c r="E8" s="66"/>
    </row>
    <row r="9" spans="2:9" ht="21.6" customHeight="1">
      <c r="C9" s="67" t="s">
        <v>123</v>
      </c>
      <c r="D9" s="68" t="str">
        <f>C9&amp;"："&amp;"111年  月  日~"&amp;"111年  月  日"</f>
        <v>查核期間：111年  月  日~111年  月  日</v>
      </c>
      <c r="E9" s="69"/>
    </row>
    <row r="10" spans="2:9" ht="34.200000000000003" customHeight="1" thickBot="1">
      <c r="C10" s="70" t="s">
        <v>57</v>
      </c>
      <c r="D10" s="71" t="b">
        <v>1</v>
      </c>
      <c r="E10" s="72"/>
    </row>
    <row r="11" spans="2:9" ht="39.6" customHeight="1"/>
    <row r="12" spans="2:9" ht="21.6" customHeight="1">
      <c r="C12" s="25" t="s">
        <v>41</v>
      </c>
      <c r="G12" s="23" t="s">
        <v>38</v>
      </c>
    </row>
    <row r="13" spans="2:9" ht="36.6" customHeight="1">
      <c r="C13" s="86" t="s">
        <v>157</v>
      </c>
      <c r="D13" s="86"/>
      <c r="E13" s="86"/>
      <c r="G13" s="3" t="s">
        <v>25</v>
      </c>
    </row>
    <row r="14" spans="2:9" ht="21.6" customHeight="1">
      <c r="C14" s="3" t="s">
        <v>20</v>
      </c>
      <c r="D14" s="3" t="s">
        <v>21</v>
      </c>
      <c r="E14" s="9" t="s">
        <v>6</v>
      </c>
      <c r="G14" s="3" t="s">
        <v>29</v>
      </c>
      <c r="H14" s="3" t="s">
        <v>31</v>
      </c>
      <c r="I14" s="3" t="s">
        <v>43</v>
      </c>
    </row>
    <row r="15" spans="2:9" ht="43.2">
      <c r="B15" t="str">
        <f>Temporary!N5&amp;Temporary!R5&amp;Temporary!O5</f>
        <v>(一)</v>
      </c>
      <c r="C15" s="4" t="s">
        <v>146</v>
      </c>
      <c r="D15" s="6" t="s">
        <v>105</v>
      </c>
      <c r="E15" s="6"/>
      <c r="G15" s="55" t="s">
        <v>126</v>
      </c>
      <c r="H15" s="4" t="s">
        <v>34</v>
      </c>
      <c r="I15" s="4" t="s">
        <v>125</v>
      </c>
    </row>
    <row r="16" spans="2:9" ht="28.8">
      <c r="B16" t="str">
        <f>Temporary!N6&amp;Temporary!R6&amp;Temporary!O6</f>
        <v>(二)</v>
      </c>
      <c r="C16" s="4"/>
      <c r="D16" s="6" t="s">
        <v>106</v>
      </c>
      <c r="E16" s="6"/>
      <c r="G16" s="55" t="s">
        <v>127</v>
      </c>
      <c r="H16" s="4" t="s">
        <v>32</v>
      </c>
    </row>
    <row r="17" spans="2:8" ht="28.8">
      <c r="B17" t="str">
        <f>Temporary!N7&amp;Temporary!R7&amp;Temporary!O7</f>
        <v>(三)</v>
      </c>
      <c r="C17" s="4"/>
      <c r="D17" s="6" t="s">
        <v>107</v>
      </c>
      <c r="E17" s="6"/>
      <c r="G17" s="55" t="s">
        <v>128</v>
      </c>
      <c r="H17" s="4" t="s">
        <v>33</v>
      </c>
    </row>
    <row r="18" spans="2:8" ht="28.8">
      <c r="B18" t="str">
        <f>Temporary!N8&amp;Temporary!R8&amp;Temporary!O8</f>
        <v>(四)</v>
      </c>
      <c r="C18" s="4"/>
      <c r="D18" s="6" t="s">
        <v>108</v>
      </c>
      <c r="E18" s="6"/>
      <c r="G18" s="55" t="s">
        <v>129</v>
      </c>
    </row>
    <row r="19" spans="2:8" ht="16.2">
      <c r="B19" t="str">
        <f>Temporary!N9&amp;Temporary!R9&amp;Temporary!O9</f>
        <v>(五)</v>
      </c>
      <c r="C19" s="4" t="s">
        <v>148</v>
      </c>
      <c r="D19" s="6" t="s">
        <v>109</v>
      </c>
      <c r="E19" s="6"/>
      <c r="G19" s="55" t="s">
        <v>130</v>
      </c>
    </row>
    <row r="20" spans="2:8" ht="28.8">
      <c r="B20" t="str">
        <f>Temporary!N10&amp;Temporary!R10&amp;Temporary!O10</f>
        <v>(六)</v>
      </c>
      <c r="C20" s="4"/>
      <c r="D20" s="6" t="s">
        <v>110</v>
      </c>
      <c r="E20" s="6"/>
      <c r="G20" s="55" t="s">
        <v>131</v>
      </c>
    </row>
    <row r="21" spans="2:8" ht="28.8">
      <c r="B21" t="str">
        <f>Temporary!N11&amp;Temporary!R11&amp;Temporary!O11</f>
        <v>(七)</v>
      </c>
      <c r="C21" s="4"/>
      <c r="D21" s="6" t="s">
        <v>111</v>
      </c>
      <c r="E21" s="6"/>
      <c r="G21" s="55" t="s">
        <v>132</v>
      </c>
    </row>
    <row r="22" spans="2:8" ht="16.2">
      <c r="B22" t="str">
        <f>Temporary!N12&amp;Temporary!R12&amp;Temporary!O12</f>
        <v>(八)</v>
      </c>
      <c r="D22" s="6" t="s">
        <v>112</v>
      </c>
      <c r="E22" s="6"/>
      <c r="G22" s="55" t="s">
        <v>133</v>
      </c>
    </row>
    <row r="23" spans="2:8" ht="28.8">
      <c r="B23" t="str">
        <f>Temporary!N13&amp;Temporary!R13&amp;Temporary!O13</f>
        <v>(九)</v>
      </c>
      <c r="D23" s="6" t="s">
        <v>113</v>
      </c>
      <c r="E23" s="6"/>
    </row>
    <row r="24" spans="2:8" ht="15">
      <c r="B24" t="str">
        <f>Temporary!N14&amp;Temporary!R14&amp;Temporary!O14</f>
        <v>(十)</v>
      </c>
      <c r="C24" s="4" t="s">
        <v>150</v>
      </c>
      <c r="D24" s="6" t="s">
        <v>114</v>
      </c>
      <c r="E24" s="6"/>
    </row>
    <row r="25" spans="2:8" ht="14.4">
      <c r="B25" t="str">
        <f>Temporary!N15&amp;Temporary!R15&amp;Temporary!O15</f>
        <v>(十一)</v>
      </c>
      <c r="D25" s="6" t="s">
        <v>115</v>
      </c>
      <c r="E25" s="6"/>
    </row>
    <row r="26" spans="2:8" ht="28.8">
      <c r="B26" t="str">
        <f>Temporary!N16&amp;Temporary!R16&amp;Temporary!O16</f>
        <v>(十二)</v>
      </c>
      <c r="D26" s="6" t="s">
        <v>116</v>
      </c>
      <c r="E26" s="6"/>
    </row>
    <row r="27" spans="2:8" ht="28.8">
      <c r="B27" t="str">
        <f>Temporary!N17&amp;Temporary!R17&amp;Temporary!O17</f>
        <v>(十三)</v>
      </c>
      <c r="D27" s="6" t="s">
        <v>117</v>
      </c>
      <c r="E27" s="6"/>
    </row>
    <row r="28" spans="2:8" ht="43.2">
      <c r="B28" t="str">
        <f>Temporary!N18&amp;Temporary!R18&amp;Temporary!O18</f>
        <v>(十四)</v>
      </c>
      <c r="D28" s="6" t="s">
        <v>118</v>
      </c>
      <c r="E28" s="6"/>
    </row>
    <row r="29" spans="2:8" ht="28.8">
      <c r="B29" t="str">
        <f>Temporary!N19&amp;Temporary!R19&amp;Temporary!O19</f>
        <v>(十五)</v>
      </c>
      <c r="C29" s="4" t="s">
        <v>152</v>
      </c>
      <c r="D29" s="59" t="s">
        <v>143</v>
      </c>
      <c r="E29" s="6"/>
    </row>
    <row r="30" spans="2:8" ht="28.8">
      <c r="B30" t="str">
        <f>Temporary!N20&amp;Temporary!R20&amp;Temporary!O20</f>
        <v>(十六)</v>
      </c>
      <c r="D30" s="59" t="s">
        <v>156</v>
      </c>
      <c r="E30" s="6"/>
    </row>
    <row r="31" spans="2:8" ht="28.8">
      <c r="B31" t="str">
        <f>Temporary!N21&amp;Temporary!R21&amp;Temporary!O21</f>
        <v>(十七)</v>
      </c>
      <c r="D31" s="59" t="s">
        <v>144</v>
      </c>
      <c r="E31" s="6"/>
    </row>
    <row r="32" spans="2:8" ht="28.8">
      <c r="B32" t="str">
        <f>Temporary!N22&amp;Temporary!R22&amp;Temporary!O22</f>
        <v>(十八)</v>
      </c>
      <c r="D32" s="59" t="s">
        <v>154</v>
      </c>
      <c r="E32" s="6"/>
    </row>
    <row r="33" spans="2:5" ht="28.8">
      <c r="B33" t="str">
        <f>Temporary!N23&amp;Temporary!R23&amp;Temporary!O23</f>
        <v>(十九)</v>
      </c>
      <c r="D33" s="6" t="s">
        <v>22</v>
      </c>
      <c r="E33" s="6"/>
    </row>
    <row r="34" spans="2:5" ht="21.6" customHeight="1">
      <c r="B34" t="str">
        <f>Temporary!N24&amp;Temporary!R24&amp;Temporary!O24</f>
        <v>(二十)</v>
      </c>
    </row>
    <row r="35" spans="2:5" ht="21.6" customHeight="1">
      <c r="B35" t="str">
        <f>Temporary!N25&amp;Temporary!R25&amp;Temporary!O25</f>
        <v/>
      </c>
    </row>
    <row r="36" spans="2:5" ht="21.6" customHeight="1">
      <c r="B36" t="str">
        <f>Temporary!N26&amp;Temporary!R26&amp;Temporary!O26</f>
        <v/>
      </c>
    </row>
    <row r="37" spans="2:5" ht="21.6" customHeight="1">
      <c r="B37" t="str">
        <f>Temporary!N27&amp;Temporary!R27&amp;Temporary!O27</f>
        <v/>
      </c>
    </row>
    <row r="38" spans="2:5" ht="21.6" customHeight="1">
      <c r="B38" t="str">
        <f>Temporary!N28&amp;Temporary!R28&amp;Temporary!O28</f>
        <v/>
      </c>
    </row>
    <row r="39" spans="2:5" ht="21.6" customHeight="1">
      <c r="B39" t="str">
        <f>Temporary!N29&amp;Temporary!R29&amp;Temporary!O29</f>
        <v/>
      </c>
    </row>
    <row r="40" spans="2:5" ht="21.6" customHeight="1">
      <c r="B40" t="str">
        <f>Temporary!N30&amp;Temporary!R30&amp;Temporary!O30</f>
        <v/>
      </c>
    </row>
    <row r="41" spans="2:5" ht="21.6" customHeight="1">
      <c r="B41" t="str">
        <f>Temporary!N31&amp;Temporary!R31&amp;Temporary!O31</f>
        <v/>
      </c>
    </row>
    <row r="42" spans="2:5" ht="21.6" customHeight="1">
      <c r="B42" t="str">
        <f>Temporary!N32&amp;Temporary!R32&amp;Temporary!O32</f>
        <v/>
      </c>
    </row>
    <row r="43" spans="2:5" ht="21.6" customHeight="1">
      <c r="B43" t="str">
        <f>Temporary!N33&amp;Temporary!R33&amp;Temporary!O33</f>
        <v/>
      </c>
    </row>
    <row r="44" spans="2:5" ht="21.6" customHeight="1">
      <c r="B44" t="str">
        <f>Temporary!N34&amp;Temporary!R34&amp;Temporary!O34</f>
        <v/>
      </c>
    </row>
    <row r="45" spans="2:5" ht="21.6" customHeight="1">
      <c r="B45" t="str">
        <f>Temporary!N35&amp;Temporary!R35&amp;Temporary!O35</f>
        <v/>
      </c>
    </row>
    <row r="46" spans="2:5" ht="21.6" customHeight="1">
      <c r="B46" t="str">
        <f>Temporary!N36&amp;Temporary!R36&amp;Temporary!O36</f>
        <v/>
      </c>
    </row>
    <row r="47" spans="2:5" ht="21.6" customHeight="1">
      <c r="B47" t="str">
        <f>Temporary!N37&amp;Temporary!R37&amp;Temporary!O37</f>
        <v/>
      </c>
    </row>
    <row r="48" spans="2:5" ht="21.6" customHeight="1">
      <c r="B48" t="str">
        <f>Temporary!N38&amp;Temporary!R38&amp;Temporary!O38</f>
        <v/>
      </c>
    </row>
    <row r="49" spans="2:2" ht="21.6" customHeight="1">
      <c r="B49" t="str">
        <f>Temporary!N39&amp;Temporary!R39&amp;Temporary!O39</f>
        <v/>
      </c>
    </row>
    <row r="50" spans="2:2" ht="21.6" customHeight="1">
      <c r="B50" t="str">
        <f>Temporary!N40&amp;Temporary!R40&amp;Temporary!O40</f>
        <v/>
      </c>
    </row>
    <row r="51" spans="2:2" ht="21.6" customHeight="1">
      <c r="B51" t="str">
        <f>Temporary!N41&amp;Temporary!R41&amp;Temporary!O41</f>
        <v/>
      </c>
    </row>
    <row r="52" spans="2:2" ht="21.6" customHeight="1">
      <c r="B52" t="str">
        <f>Temporary!N42&amp;Temporary!R42&amp;Temporary!O42</f>
        <v/>
      </c>
    </row>
    <row r="53" spans="2:2" ht="21.6" customHeight="1">
      <c r="B53" t="str">
        <f>Temporary!N43&amp;Temporary!R43&amp;Temporary!O43</f>
        <v/>
      </c>
    </row>
    <row r="54" spans="2:2" ht="21.6" customHeight="1">
      <c r="B54" t="str">
        <f>Temporary!N44&amp;Temporary!R44&amp;Temporary!O44</f>
        <v/>
      </c>
    </row>
    <row r="55" spans="2:2" ht="21.6" customHeight="1">
      <c r="B55" t="str">
        <f>Temporary!N45&amp;Temporary!R45&amp;Temporary!O45</f>
        <v/>
      </c>
    </row>
    <row r="56" spans="2:2" ht="21.6" customHeight="1">
      <c r="B56" t="str">
        <f>Temporary!N46&amp;Temporary!R46&amp;Temporary!O46</f>
        <v/>
      </c>
    </row>
    <row r="57" spans="2:2" ht="21.6" customHeight="1">
      <c r="B57" t="str">
        <f>Temporary!N47&amp;Temporary!R47&amp;Temporary!O47</f>
        <v/>
      </c>
    </row>
    <row r="58" spans="2:2" ht="21.6" customHeight="1">
      <c r="B58" t="str">
        <f>Temporary!N48&amp;Temporary!R48&amp;Temporary!O48</f>
        <v/>
      </c>
    </row>
    <row r="59" spans="2:2" ht="21.6" customHeight="1">
      <c r="B59" t="str">
        <f>Temporary!N49&amp;Temporary!R49&amp;Temporary!O49</f>
        <v/>
      </c>
    </row>
    <row r="60" spans="2:2" ht="21.6" customHeight="1">
      <c r="B60" t="str">
        <f>Temporary!N50&amp;Temporary!R50&amp;Temporary!O50</f>
        <v/>
      </c>
    </row>
    <row r="61" spans="2:2" ht="21.6" customHeight="1">
      <c r="B61" t="str">
        <f>Temporary!N51&amp;Temporary!R51&amp;Temporary!O51</f>
        <v/>
      </c>
    </row>
    <row r="62" spans="2:2" ht="21.6" customHeight="1">
      <c r="B62" t="str">
        <f>Temporary!N52&amp;Temporary!R52&amp;Temporary!O52</f>
        <v/>
      </c>
    </row>
    <row r="63" spans="2:2" ht="21.6" customHeight="1">
      <c r="B63" t="str">
        <f>Temporary!N53&amp;Temporary!R53&amp;Temporary!O53</f>
        <v/>
      </c>
    </row>
    <row r="64" spans="2:2" ht="21.6" customHeight="1">
      <c r="B64" t="str">
        <f>Temporary!N54&amp;Temporary!R54&amp;Temporary!O54</f>
        <v/>
      </c>
    </row>
    <row r="65" spans="2:2" ht="21.6" customHeight="1">
      <c r="B65" t="str">
        <f>Temporary!N55&amp;Temporary!R55&amp;Temporary!O55</f>
        <v/>
      </c>
    </row>
    <row r="66" spans="2:2" ht="21.6" customHeight="1">
      <c r="B66" t="str">
        <f>Temporary!N56&amp;Temporary!R56&amp;Temporary!O56</f>
        <v/>
      </c>
    </row>
    <row r="67" spans="2:2" ht="21.6" customHeight="1">
      <c r="B67" t="str">
        <f>Temporary!N57&amp;Temporary!R57&amp;Temporary!O57</f>
        <v/>
      </c>
    </row>
    <row r="68" spans="2:2" ht="21.6" customHeight="1">
      <c r="B68" t="str">
        <f>Temporary!N58&amp;Temporary!R58&amp;Temporary!O58</f>
        <v/>
      </c>
    </row>
    <row r="69" spans="2:2" ht="21.6" customHeight="1">
      <c r="B69" t="str">
        <f>Temporary!N59&amp;Temporary!R59&amp;Temporary!O59</f>
        <v/>
      </c>
    </row>
    <row r="70" spans="2:2" ht="21.6" customHeight="1">
      <c r="B70" t="str">
        <f>Temporary!N60&amp;Temporary!R60&amp;Temporary!O60</f>
        <v/>
      </c>
    </row>
    <row r="71" spans="2:2" ht="21.6" customHeight="1">
      <c r="B71" t="str">
        <f>Temporary!N61&amp;Temporary!R61&amp;Temporary!O61</f>
        <v/>
      </c>
    </row>
    <row r="72" spans="2:2" ht="21.6" customHeight="1">
      <c r="B72" t="str">
        <f>Temporary!N62&amp;Temporary!R62&amp;Temporary!O62</f>
        <v/>
      </c>
    </row>
    <row r="73" spans="2:2" ht="21.6" customHeight="1">
      <c r="B73" t="str">
        <f>Temporary!N63&amp;Temporary!R63&amp;Temporary!O63</f>
        <v/>
      </c>
    </row>
    <row r="74" spans="2:2" ht="21.6" customHeight="1">
      <c r="B74" t="str">
        <f>Temporary!N64&amp;Temporary!R64&amp;Temporary!O64</f>
        <v/>
      </c>
    </row>
    <row r="75" spans="2:2" ht="21.6" customHeight="1">
      <c r="B75" t="str">
        <f>Temporary!N65&amp;Temporary!R65&amp;Temporary!O65</f>
        <v/>
      </c>
    </row>
    <row r="76" spans="2:2" ht="21.6" customHeight="1">
      <c r="B76" t="str">
        <f>Temporary!N66&amp;Temporary!R66&amp;Temporary!O66</f>
        <v/>
      </c>
    </row>
    <row r="77" spans="2:2" ht="21.6" customHeight="1">
      <c r="B77" t="str">
        <f>Temporary!N67&amp;Temporary!R67&amp;Temporary!O67</f>
        <v/>
      </c>
    </row>
    <row r="78" spans="2:2" ht="21.6" customHeight="1">
      <c r="B78" t="str">
        <f>Temporary!N68&amp;Temporary!R68&amp;Temporary!O68</f>
        <v/>
      </c>
    </row>
    <row r="79" spans="2:2" ht="21.6" customHeight="1">
      <c r="B79" t="str">
        <f>Temporary!N69&amp;Temporary!R69&amp;Temporary!O69</f>
        <v/>
      </c>
    </row>
    <row r="80" spans="2:2" ht="21.6" customHeight="1">
      <c r="B80" t="str">
        <f>Temporary!N70&amp;Temporary!R70&amp;Temporary!O70</f>
        <v/>
      </c>
    </row>
    <row r="81" spans="2:2" ht="21.6" customHeight="1">
      <c r="B81" t="str">
        <f>Temporary!N71&amp;Temporary!R71&amp;Temporary!O71</f>
        <v/>
      </c>
    </row>
    <row r="82" spans="2:2" ht="21.6" customHeight="1">
      <c r="B82" t="str">
        <f>Temporary!N72&amp;Temporary!R72&amp;Temporary!O72</f>
        <v/>
      </c>
    </row>
    <row r="83" spans="2:2" ht="21.6" customHeight="1">
      <c r="B83" t="str">
        <f>Temporary!N73&amp;Temporary!R73&amp;Temporary!O73</f>
        <v/>
      </c>
    </row>
    <row r="84" spans="2:2" ht="21.6" customHeight="1">
      <c r="B84" t="str">
        <f>Temporary!N74&amp;Temporary!R74&amp;Temporary!O74</f>
        <v/>
      </c>
    </row>
    <row r="85" spans="2:2" ht="21.6" customHeight="1">
      <c r="B85" t="str">
        <f>Temporary!N75&amp;Temporary!R75&amp;Temporary!O75</f>
        <v/>
      </c>
    </row>
    <row r="86" spans="2:2" ht="21.6" customHeight="1">
      <c r="B86" t="str">
        <f>Temporary!N76&amp;Temporary!R76&amp;Temporary!O76</f>
        <v/>
      </c>
    </row>
    <row r="87" spans="2:2" ht="21.6" customHeight="1">
      <c r="B87" t="str">
        <f>Temporary!N77&amp;Temporary!R77&amp;Temporary!O77</f>
        <v/>
      </c>
    </row>
    <row r="88" spans="2:2" ht="21.6" customHeight="1">
      <c r="B88" t="str">
        <f>Temporary!N78&amp;Temporary!R78&amp;Temporary!O78</f>
        <v/>
      </c>
    </row>
    <row r="89" spans="2:2" ht="21.6" customHeight="1">
      <c r="B89" t="str">
        <f>Temporary!N79&amp;Temporary!R79&amp;Temporary!O79</f>
        <v/>
      </c>
    </row>
    <row r="90" spans="2:2" ht="21.6" customHeight="1">
      <c r="B90" t="str">
        <f>Temporary!N80&amp;Temporary!R80&amp;Temporary!O80</f>
        <v/>
      </c>
    </row>
    <row r="91" spans="2:2" ht="21.6" customHeight="1">
      <c r="B91" t="str">
        <f>Temporary!N81&amp;Temporary!R81&amp;Temporary!O81</f>
        <v/>
      </c>
    </row>
    <row r="92" spans="2:2" ht="21.6" customHeight="1">
      <c r="B92" t="str">
        <f>Temporary!N82&amp;Temporary!R82&amp;Temporary!O82</f>
        <v/>
      </c>
    </row>
    <row r="93" spans="2:2" ht="21.6" customHeight="1">
      <c r="B93" t="str">
        <f>Temporary!N83&amp;Temporary!R83&amp;Temporary!O83</f>
        <v/>
      </c>
    </row>
    <row r="94" spans="2:2" ht="21.6" customHeight="1">
      <c r="B94" t="str">
        <f>Temporary!N84&amp;Temporary!R84&amp;Temporary!O84</f>
        <v/>
      </c>
    </row>
    <row r="95" spans="2:2" ht="21.6" customHeight="1">
      <c r="B95" t="str">
        <f>Temporary!N85&amp;Temporary!R85&amp;Temporary!O85</f>
        <v/>
      </c>
    </row>
    <row r="96" spans="2:2" ht="21.6" customHeight="1">
      <c r="B96" t="str">
        <f>Temporary!N86&amp;Temporary!R86&amp;Temporary!O86</f>
        <v/>
      </c>
    </row>
    <row r="97" spans="2:2" ht="21.6" customHeight="1">
      <c r="B97" t="str">
        <f>Temporary!N87&amp;Temporary!R87&amp;Temporary!O87</f>
        <v/>
      </c>
    </row>
    <row r="98" spans="2:2" ht="21.6" customHeight="1">
      <c r="B98" t="str">
        <f>Temporary!N88&amp;Temporary!R88&amp;Temporary!O88</f>
        <v/>
      </c>
    </row>
    <row r="99" spans="2:2" ht="21.6" customHeight="1">
      <c r="B99" t="str">
        <f>Temporary!N89&amp;Temporary!R89&amp;Temporary!O89</f>
        <v/>
      </c>
    </row>
    <row r="100" spans="2:2" ht="21.6" customHeight="1">
      <c r="B100" t="str">
        <f>Temporary!N90&amp;Temporary!R90&amp;Temporary!O90</f>
        <v/>
      </c>
    </row>
    <row r="101" spans="2:2" ht="21.6" customHeight="1">
      <c r="B101" t="str">
        <f>Temporary!N91&amp;Temporary!R91&amp;Temporary!O91</f>
        <v/>
      </c>
    </row>
    <row r="102" spans="2:2" ht="21.6" customHeight="1">
      <c r="B102" t="str">
        <f>Temporary!N92&amp;Temporary!R92&amp;Temporary!O92</f>
        <v/>
      </c>
    </row>
    <row r="103" spans="2:2" ht="21.6" customHeight="1">
      <c r="B103" t="str">
        <f>Temporary!N93&amp;Temporary!R93&amp;Temporary!O93</f>
        <v/>
      </c>
    </row>
    <row r="104" spans="2:2" ht="21.6" customHeight="1">
      <c r="B104" t="str">
        <f>Temporary!N94&amp;Temporary!R94&amp;Temporary!O94</f>
        <v/>
      </c>
    </row>
    <row r="105" spans="2:2" ht="21.6" customHeight="1">
      <c r="B105" t="str">
        <f>Temporary!N95&amp;Temporary!R95&amp;Temporary!O95</f>
        <v/>
      </c>
    </row>
    <row r="106" spans="2:2" ht="21.6" customHeight="1">
      <c r="B106" t="str">
        <f>Temporary!N96&amp;Temporary!R96&amp;Temporary!O96</f>
        <v/>
      </c>
    </row>
    <row r="107" spans="2:2" ht="21.6" customHeight="1">
      <c r="B107" t="str">
        <f>Temporary!N97&amp;Temporary!R97&amp;Temporary!O97</f>
        <v/>
      </c>
    </row>
    <row r="108" spans="2:2" ht="21.6" customHeight="1">
      <c r="B108" t="str">
        <f>Temporary!N98&amp;Temporary!R98&amp;Temporary!O98</f>
        <v/>
      </c>
    </row>
    <row r="109" spans="2:2" ht="21.6" customHeight="1">
      <c r="B109" t="str">
        <f>Temporary!N99&amp;Temporary!R99&amp;Temporary!O99</f>
        <v/>
      </c>
    </row>
    <row r="110" spans="2:2" ht="21.6" customHeight="1">
      <c r="B110" t="str">
        <f>Temporary!N100&amp;Temporary!R100&amp;Temporary!O100</f>
        <v/>
      </c>
    </row>
    <row r="111" spans="2:2" ht="21.6" customHeight="1">
      <c r="B111" t="str">
        <f>Temporary!N101&amp;Temporary!R101&amp;Temporary!O101</f>
        <v/>
      </c>
    </row>
    <row r="112" spans="2:2" ht="21.6" customHeight="1">
      <c r="B112" t="str">
        <f>Temporary!N102&amp;Temporary!R102&amp;Temporary!O102</f>
        <v/>
      </c>
    </row>
    <row r="113" spans="2:2" ht="21.6" customHeight="1">
      <c r="B113" t="str">
        <f>Temporary!N103&amp;Temporary!R103&amp;Temporary!O103</f>
        <v/>
      </c>
    </row>
    <row r="114" spans="2:2" ht="21.6" customHeight="1">
      <c r="B114" t="str">
        <f>Temporary!N104&amp;Temporary!R104&amp;Temporary!O104</f>
        <v/>
      </c>
    </row>
    <row r="115" spans="2:2" ht="21.6" customHeight="1">
      <c r="B115" t="str">
        <f>Temporary!N105&amp;Temporary!R105&amp;Temporary!O105</f>
        <v/>
      </c>
    </row>
    <row r="116" spans="2:2" ht="21.6" customHeight="1">
      <c r="B116" t="str">
        <f>Temporary!N106&amp;Temporary!R106&amp;Temporary!O106</f>
        <v/>
      </c>
    </row>
    <row r="117" spans="2:2" ht="21.6" customHeight="1">
      <c r="B117" t="str">
        <f>Temporary!N107&amp;Temporary!R107&amp;Temporary!O107</f>
        <v/>
      </c>
    </row>
    <row r="118" spans="2:2" ht="21.6" customHeight="1">
      <c r="B118" t="str">
        <f>Temporary!N108&amp;Temporary!R108&amp;Temporary!O108</f>
        <v/>
      </c>
    </row>
    <row r="119" spans="2:2" ht="21.6" customHeight="1">
      <c r="B119" t="str">
        <f>Temporary!N109&amp;Temporary!R109&amp;Temporary!O109</f>
        <v/>
      </c>
    </row>
    <row r="120" spans="2:2" ht="21.6" customHeight="1">
      <c r="B120" t="str">
        <f>Temporary!N110&amp;Temporary!R110&amp;Temporary!O110</f>
        <v/>
      </c>
    </row>
    <row r="121" spans="2:2" ht="21.6" customHeight="1">
      <c r="B121" t="str">
        <f>Temporary!N111&amp;Temporary!R111&amp;Temporary!O111</f>
        <v/>
      </c>
    </row>
    <row r="122" spans="2:2" ht="21.6" customHeight="1">
      <c r="B122" t="str">
        <f>Temporary!N112&amp;Temporary!R112&amp;Temporary!O112</f>
        <v/>
      </c>
    </row>
    <row r="123" spans="2:2" ht="21.6" customHeight="1">
      <c r="B123" t="str">
        <f>Temporary!N113&amp;Temporary!R113&amp;Temporary!O113</f>
        <v/>
      </c>
    </row>
    <row r="124" spans="2:2" ht="21.6" customHeight="1">
      <c r="B124" t="str">
        <f>Temporary!N114&amp;Temporary!R114&amp;Temporary!O114</f>
        <v/>
      </c>
    </row>
    <row r="125" spans="2:2" ht="21.6" customHeight="1">
      <c r="B125" t="str">
        <f>Temporary!N115&amp;Temporary!R115&amp;Temporary!O115</f>
        <v/>
      </c>
    </row>
    <row r="126" spans="2:2" ht="21.6" customHeight="1">
      <c r="B126" t="str">
        <f>Temporary!N116&amp;Temporary!R116&amp;Temporary!O116</f>
        <v/>
      </c>
    </row>
    <row r="127" spans="2:2" ht="21.6" customHeight="1">
      <c r="B127" t="str">
        <f>Temporary!N117&amp;Temporary!R117&amp;Temporary!O117</f>
        <v/>
      </c>
    </row>
    <row r="128" spans="2:2" ht="21.6" customHeight="1">
      <c r="B128" t="str">
        <f>Temporary!N118&amp;Temporary!R118&amp;Temporary!O118</f>
        <v/>
      </c>
    </row>
    <row r="129" spans="2:2" ht="21.6" customHeight="1">
      <c r="B129" t="str">
        <f>Temporary!N119&amp;Temporary!R119&amp;Temporary!O119</f>
        <v/>
      </c>
    </row>
    <row r="130" spans="2:2" ht="21.6" customHeight="1">
      <c r="B130" t="str">
        <f>Temporary!N120&amp;Temporary!R120&amp;Temporary!O120</f>
        <v/>
      </c>
    </row>
    <row r="131" spans="2:2" ht="21.6" customHeight="1">
      <c r="B131" t="str">
        <f>Temporary!N121&amp;Temporary!R121&amp;Temporary!O121</f>
        <v/>
      </c>
    </row>
    <row r="132" spans="2:2" ht="21.6" customHeight="1">
      <c r="B132" t="str">
        <f>Temporary!N122&amp;Temporary!R122&amp;Temporary!O122</f>
        <v/>
      </c>
    </row>
    <row r="133" spans="2:2" ht="21.6" customHeight="1">
      <c r="B133" t="str">
        <f>Temporary!N123&amp;Temporary!R123&amp;Temporary!O123</f>
        <v/>
      </c>
    </row>
    <row r="134" spans="2:2" ht="21.6" customHeight="1">
      <c r="B134" t="str">
        <f>Temporary!N124&amp;Temporary!R124&amp;Temporary!O124</f>
        <v/>
      </c>
    </row>
  </sheetData>
  <mergeCells count="1">
    <mergeCell ref="C13:E13"/>
  </mergeCells>
  <phoneticPr fontId="1" type="noConversion"/>
  <pageMargins left="0.70866141732283472" right="0.70866141732283472" top="0.74803149606299213" bottom="0.74803149606299213" header="0.31496062992125984" footer="0.31496062992125984"/>
  <pageSetup paperSize="9" scale="57"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6</xdr:col>
                    <xdr:colOff>137160</xdr:colOff>
                    <xdr:row>3</xdr:row>
                    <xdr:rowOff>60960</xdr:rowOff>
                  </from>
                  <to>
                    <xdr:col>6</xdr:col>
                    <xdr:colOff>1821180</xdr:colOff>
                    <xdr:row>5</xdr:row>
                    <xdr:rowOff>175260</xdr:rowOff>
                  </to>
                </anchor>
              </controlPr>
            </control>
          </mc:Choice>
        </mc:AlternateContent>
        <mc:AlternateContent xmlns:mc="http://schemas.openxmlformats.org/markup-compatibility/2006">
          <mc:Choice Requires="x14">
            <control shapeId="2052" r:id="rId5" name="Button 4">
              <controlPr defaultSize="0" print="0" autoFill="0" autoPict="0" macro="[0]!另存調閱清單">
                <anchor moveWithCells="1" sizeWithCells="1">
                  <from>
                    <xdr:col>4</xdr:col>
                    <xdr:colOff>45720</xdr:colOff>
                    <xdr:row>11</xdr:row>
                    <xdr:rowOff>38100</xdr:rowOff>
                  </from>
                  <to>
                    <xdr:col>4</xdr:col>
                    <xdr:colOff>1447800</xdr:colOff>
                    <xdr:row>12</xdr:row>
                    <xdr:rowOff>228600</xdr:rowOff>
                  </to>
                </anchor>
              </controlPr>
            </control>
          </mc:Choice>
        </mc:AlternateContent>
        <mc:AlternateContent xmlns:mc="http://schemas.openxmlformats.org/markup-compatibility/2006">
          <mc:Choice Requires="x14">
            <control shapeId="2053" r:id="rId6" name="Button 5">
              <controlPr defaultSize="0" print="0" autoFill="0" autoPict="0" macro="[0]!另存稽核報告">
                <anchor moveWithCells="1" sizeWithCells="1">
                  <from>
                    <xdr:col>7</xdr:col>
                    <xdr:colOff>2560320</xdr:colOff>
                    <xdr:row>11</xdr:row>
                    <xdr:rowOff>68580</xdr:rowOff>
                  </from>
                  <to>
                    <xdr:col>8</xdr:col>
                    <xdr:colOff>617220</xdr:colOff>
                    <xdr:row>12</xdr:row>
                    <xdr:rowOff>259080</xdr:rowOff>
                  </to>
                </anchor>
              </controlPr>
            </control>
          </mc:Choice>
        </mc:AlternateContent>
      </controls>
    </mc:Choice>
  </mc:AlternateContent>
  <tableParts count="2">
    <tablePart r:id="rId7"/>
    <tablePart r:id="rId8"/>
  </tableParts>
  <extLst>
    <ext xmlns:x14="http://schemas.microsoft.com/office/spreadsheetml/2009/9/main" uri="{CCE6A557-97BC-4b89-ADB6-D9C93CAAB3DF}">
      <x14:dataValidations xmlns:xm="http://schemas.microsoft.com/office/excel/2006/main" count="1">
        <x14:dataValidation type="list" allowBlank="1" showInputMessage="1" showErrorMessage="1" xr:uid="{49D4897C-5600-463D-9E88-F095506C8AF1}">
          <x14:formula1>
            <xm:f>Temporary!$D$19:$D$20</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F53D-76DB-4D3D-816C-875D9D5FB1E8}">
  <sheetPr codeName="工作表8"/>
  <dimension ref="A1:T32"/>
  <sheetViews>
    <sheetView workbookViewId="0">
      <selection sqref="A1:B1048576"/>
    </sheetView>
  </sheetViews>
  <sheetFormatPr defaultRowHeight="16.2"/>
  <cols>
    <col min="1" max="1" width="24.5546875" style="14" customWidth="1"/>
    <col min="2" max="2" width="143.21875" style="14" bestFit="1" customWidth="1"/>
    <col min="3" max="3" width="8.88671875" style="14" customWidth="1"/>
    <col min="4" max="4" width="41.5546875" style="11" customWidth="1"/>
    <col min="5" max="5" width="8.88671875" style="14"/>
    <col min="6" max="6" width="19.33203125" style="14" bestFit="1" customWidth="1"/>
    <col min="7" max="7" width="52.33203125" style="14" bestFit="1" customWidth="1"/>
    <col min="8" max="8" width="58.33203125" style="14" bestFit="1" customWidth="1"/>
    <col min="9" max="9" width="23.33203125" style="14" bestFit="1" customWidth="1"/>
    <col min="10" max="10" width="7.77734375" style="14" bestFit="1" customWidth="1"/>
    <col min="11" max="11" width="30.6640625" style="14" bestFit="1" customWidth="1"/>
    <col min="12" max="12" width="9" style="14" customWidth="1"/>
    <col min="13" max="13" width="8.88671875" style="14"/>
    <col min="14" max="14" width="10.44140625" style="14" bestFit="1" customWidth="1"/>
    <col min="15" max="18" width="8.88671875" style="14"/>
    <col min="19" max="19" width="8.88671875" style="42"/>
    <col min="20" max="16384" width="8.88671875" style="14"/>
  </cols>
  <sheetData>
    <row r="1" spans="1:20">
      <c r="A1" s="13" t="s">
        <v>23</v>
      </c>
      <c r="B1" s="13" t="s">
        <v>3</v>
      </c>
    </row>
    <row r="2" spans="1:20" ht="16.8" thickBot="1">
      <c r="A2" s="14" t="s">
        <v>145</v>
      </c>
    </row>
    <row r="3" spans="1:20" ht="16.8" thickBot="1">
      <c r="B3" s="14" t="s">
        <v>105</v>
      </c>
      <c r="N3" s="32" t="s">
        <v>93</v>
      </c>
    </row>
    <row r="4" spans="1:20" ht="16.8" thickBot="1">
      <c r="B4" s="14" t="s">
        <v>108</v>
      </c>
      <c r="D4" s="11" t="s">
        <v>51</v>
      </c>
      <c r="F4" t="s">
        <v>49</v>
      </c>
      <c r="G4" s="14" t="s">
        <v>28</v>
      </c>
      <c r="H4" s="14" t="s">
        <v>30</v>
      </c>
      <c r="I4" s="14" t="s">
        <v>42</v>
      </c>
      <c r="J4"/>
      <c r="K4" s="14" t="s">
        <v>26</v>
      </c>
      <c r="N4" s="33" t="s">
        <v>77</v>
      </c>
      <c r="O4" s="34" t="s">
        <v>78</v>
      </c>
      <c r="P4" s="34" t="s">
        <v>79</v>
      </c>
      <c r="Q4" s="34" t="s">
        <v>80</v>
      </c>
      <c r="R4" s="34" t="s">
        <v>74</v>
      </c>
      <c r="S4" s="45" t="s">
        <v>81</v>
      </c>
      <c r="T4" s="35" t="s">
        <v>101</v>
      </c>
    </row>
    <row r="5" spans="1:20">
      <c r="B5" s="14" t="s">
        <v>106</v>
      </c>
      <c r="D5" s="28" t="s">
        <v>60</v>
      </c>
      <c r="F5" t="s">
        <v>124</v>
      </c>
      <c r="G5" t="s">
        <v>134</v>
      </c>
      <c r="H5" s="14" t="s">
        <v>46</v>
      </c>
      <c r="I5" s="14" t="s">
        <v>135</v>
      </c>
      <c r="J5"/>
      <c r="K5" s="14" t="s">
        <v>145</v>
      </c>
      <c r="N5" s="37" t="s">
        <v>72</v>
      </c>
      <c r="O5" s="37" t="s">
        <v>73</v>
      </c>
      <c r="P5" s="37" t="s">
        <v>82</v>
      </c>
      <c r="Q5" s="37" t="s">
        <v>83</v>
      </c>
      <c r="R5" s="37" t="s">
        <v>61</v>
      </c>
      <c r="S5" s="43">
        <v>1</v>
      </c>
      <c r="T5" s="37" t="s">
        <v>102</v>
      </c>
    </row>
    <row r="6" spans="1:20">
      <c r="B6" s="14" t="s">
        <v>107</v>
      </c>
      <c r="D6" s="29">
        <f ca="1">YEAR(TODAY())-1911</f>
        <v>111</v>
      </c>
      <c r="F6"/>
      <c r="G6" t="s">
        <v>136</v>
      </c>
      <c r="H6" s="14" t="s">
        <v>47</v>
      </c>
      <c r="J6"/>
      <c r="K6" s="14" t="s">
        <v>147</v>
      </c>
      <c r="N6" s="36" t="s">
        <v>72</v>
      </c>
      <c r="O6" s="36" t="s">
        <v>73</v>
      </c>
      <c r="P6" s="36" t="s">
        <v>82</v>
      </c>
      <c r="Q6" s="36" t="s">
        <v>83</v>
      </c>
      <c r="R6" s="36" t="s">
        <v>62</v>
      </c>
      <c r="S6" s="44">
        <v>2</v>
      </c>
      <c r="T6" s="37" t="s">
        <v>102</v>
      </c>
    </row>
    <row r="7" spans="1:20" ht="32.4">
      <c r="A7" s="14" t="s">
        <v>151</v>
      </c>
      <c r="D7" s="29" t="s">
        <v>45</v>
      </c>
      <c r="F7"/>
      <c r="G7" t="s">
        <v>137</v>
      </c>
      <c r="H7" s="14" t="s">
        <v>48</v>
      </c>
      <c r="J7"/>
      <c r="K7" s="14" t="s">
        <v>149</v>
      </c>
      <c r="N7" s="36" t="s">
        <v>72</v>
      </c>
      <c r="O7" s="36" t="s">
        <v>73</v>
      </c>
      <c r="P7" s="36" t="s">
        <v>82</v>
      </c>
      <c r="Q7" s="36" t="s">
        <v>83</v>
      </c>
      <c r="R7" s="36" t="s">
        <v>63</v>
      </c>
      <c r="S7" s="44">
        <v>3</v>
      </c>
      <c r="T7" s="37" t="s">
        <v>102</v>
      </c>
    </row>
    <row r="8" spans="1:20" ht="48.6">
      <c r="B8" s="14" t="s">
        <v>120</v>
      </c>
      <c r="D8" s="29" t="str">
        <f>_xlfn.TEXTJOIN("、",1,作業清單[作業清單])</f>
        <v>使用者徵審管理作業、通路商業務洽談與評估作業、通路商付款及入帳作業、委外管理作業管理</v>
      </c>
      <c r="F8"/>
      <c r="G8" t="s">
        <v>138</v>
      </c>
      <c r="J8"/>
      <c r="K8" s="14" t="s">
        <v>151</v>
      </c>
      <c r="N8" s="36" t="s">
        <v>72</v>
      </c>
      <c r="O8" s="36" t="s">
        <v>73</v>
      </c>
      <c r="P8" s="36" t="s">
        <v>82</v>
      </c>
      <c r="Q8" s="36" t="s">
        <v>83</v>
      </c>
      <c r="R8" s="36" t="s">
        <v>64</v>
      </c>
      <c r="S8" s="44">
        <v>4</v>
      </c>
      <c r="T8" s="37" t="s">
        <v>102</v>
      </c>
    </row>
    <row r="9" spans="1:20">
      <c r="B9" s="14" t="s">
        <v>119</v>
      </c>
      <c r="D9" s="29" t="s">
        <v>27</v>
      </c>
      <c r="F9"/>
      <c r="G9" t="s">
        <v>139</v>
      </c>
      <c r="J9"/>
      <c r="N9" s="36" t="s">
        <v>72</v>
      </c>
      <c r="O9" s="36" t="s">
        <v>73</v>
      </c>
      <c r="P9" s="36" t="s">
        <v>82</v>
      </c>
      <c r="Q9" s="36" t="s">
        <v>83</v>
      </c>
      <c r="R9" s="36" t="s">
        <v>65</v>
      </c>
      <c r="S9" s="44">
        <v>5</v>
      </c>
      <c r="T9" s="37" t="s">
        <v>102</v>
      </c>
    </row>
    <row r="10" spans="1:20" ht="64.8">
      <c r="B10" s="14" t="s">
        <v>22</v>
      </c>
      <c r="D10" s="27" t="str">
        <f>_xlfn.TEXTJOIN("、",1,引用法規[外部法規])</f>
        <v>「電子支付機構資訊系統標準及安全控管作業基準」、「金融機構提供行動裝置應用程式作業規範」、「金融機構運用新興科技作業規範」</v>
      </c>
      <c r="F10"/>
      <c r="G10" t="s">
        <v>140</v>
      </c>
      <c r="J10"/>
      <c r="N10" s="36" t="s">
        <v>72</v>
      </c>
      <c r="O10" s="36" t="s">
        <v>73</v>
      </c>
      <c r="P10" s="36" t="s">
        <v>82</v>
      </c>
      <c r="Q10" s="36" t="s">
        <v>83</v>
      </c>
      <c r="R10" s="36" t="s">
        <v>66</v>
      </c>
      <c r="S10" s="44">
        <v>6</v>
      </c>
      <c r="T10" s="37" t="s">
        <v>102</v>
      </c>
    </row>
    <row r="11" spans="1:20">
      <c r="B11" s="14" t="s">
        <v>153</v>
      </c>
      <c r="D11" s="29" t="s">
        <v>35</v>
      </c>
      <c r="F11"/>
      <c r="G11" t="s">
        <v>141</v>
      </c>
      <c r="J11"/>
      <c r="N11" s="36" t="s">
        <v>72</v>
      </c>
      <c r="O11" s="36" t="s">
        <v>73</v>
      </c>
      <c r="P11" s="36" t="s">
        <v>82</v>
      </c>
      <c r="Q11" s="36" t="s">
        <v>83</v>
      </c>
      <c r="R11" s="36" t="s">
        <v>67</v>
      </c>
      <c r="S11" s="44">
        <v>7</v>
      </c>
      <c r="T11" s="37" t="s">
        <v>102</v>
      </c>
    </row>
    <row r="12" spans="1:20">
      <c r="B12" s="14" t="s">
        <v>155</v>
      </c>
      <c r="D12" s="29" t="s">
        <v>36</v>
      </c>
      <c r="F12"/>
      <c r="G12" t="s">
        <v>142</v>
      </c>
      <c r="J12"/>
      <c r="N12" s="36" t="s">
        <v>72</v>
      </c>
      <c r="O12" s="36" t="s">
        <v>73</v>
      </c>
      <c r="P12" s="36" t="s">
        <v>82</v>
      </c>
      <c r="Q12" s="36" t="s">
        <v>83</v>
      </c>
      <c r="R12" s="36" t="s">
        <v>68</v>
      </c>
      <c r="S12" s="44">
        <v>8</v>
      </c>
      <c r="T12" s="37" t="s">
        <v>102</v>
      </c>
    </row>
    <row r="13" spans="1:20">
      <c r="A13" s="14" t="s">
        <v>149</v>
      </c>
      <c r="D13" s="27" t="str">
        <f>_xlfn.TEXTJOIN("、",1,引用法規[查核循環])</f>
        <v>「營收及收款循環」</v>
      </c>
      <c r="N13" s="36" t="s">
        <v>72</v>
      </c>
      <c r="O13" s="36" t="s">
        <v>73</v>
      </c>
      <c r="P13" s="36" t="s">
        <v>82</v>
      </c>
      <c r="Q13" s="36" t="s">
        <v>83</v>
      </c>
      <c r="R13" s="36" t="s">
        <v>69</v>
      </c>
      <c r="S13" s="44">
        <v>9</v>
      </c>
      <c r="T13" s="37" t="s">
        <v>102</v>
      </c>
    </row>
    <row r="14" spans="1:20" ht="33" thickBot="1">
      <c r="B14" s="14" t="s">
        <v>118</v>
      </c>
      <c r="D14" s="30" t="s">
        <v>37</v>
      </c>
      <c r="N14" s="36" t="s">
        <v>72</v>
      </c>
      <c r="O14" s="36" t="s">
        <v>73</v>
      </c>
      <c r="P14" s="36" t="s">
        <v>82</v>
      </c>
      <c r="Q14" s="36" t="s">
        <v>83</v>
      </c>
      <c r="R14" s="36" t="s">
        <v>70</v>
      </c>
      <c r="S14" s="44">
        <v>10</v>
      </c>
      <c r="T14" s="37" t="s">
        <v>102</v>
      </c>
    </row>
    <row r="15" spans="1:20">
      <c r="B15" s="14" t="s">
        <v>115</v>
      </c>
      <c r="N15" s="36" t="s">
        <v>72</v>
      </c>
      <c r="O15" s="36" t="s">
        <v>73</v>
      </c>
      <c r="P15" s="36" t="s">
        <v>82</v>
      </c>
      <c r="Q15" s="36" t="s">
        <v>83</v>
      </c>
      <c r="R15" s="36" t="s">
        <v>71</v>
      </c>
      <c r="S15" s="44">
        <v>11</v>
      </c>
      <c r="T15" s="37" t="s">
        <v>102</v>
      </c>
    </row>
    <row r="16" spans="1:20" ht="16.8" thickBot="1">
      <c r="B16" s="14" t="s">
        <v>116</v>
      </c>
      <c r="D16" s="11" t="s">
        <v>50</v>
      </c>
      <c r="N16" s="36" t="s">
        <v>72</v>
      </c>
      <c r="O16" s="36" t="s">
        <v>73</v>
      </c>
      <c r="P16" s="36" t="s">
        <v>82</v>
      </c>
      <c r="Q16" s="36" t="s">
        <v>83</v>
      </c>
      <c r="R16" s="36" t="s">
        <v>84</v>
      </c>
      <c r="S16" s="44">
        <v>12</v>
      </c>
      <c r="T16" s="37" t="s">
        <v>102</v>
      </c>
    </row>
    <row r="17" spans="1:20" ht="195" thickBot="1">
      <c r="B17" s="14" t="s">
        <v>117</v>
      </c>
      <c r="D17" s="26" t="str">
        <f ca="1">_xlfn.CONCAT(D5:D14)</f>
        <v xml:space="preserve">    本次查核為辦理本公司111年度稽核計畫中技術部之一般查核，查核項目：使用者徵審管理作業、通路商業務洽談與評估作業、通路商付款及入帳作業、委外管理作業管理，並依據金融監督管理委員會「電子支付機構資訊系統標準及安全控管作業基準」、「金融機構提供行動裝置應用程式作業規範」、「金融機構運用新興科技作業規範」等主管機關之主要規範以及本公司、基本作業循環內部控制制度之「營收及收款循環」 等主要規範進行查核，相關查核作業項目及重點說明如下:</v>
      </c>
      <c r="N17" s="36" t="s">
        <v>72</v>
      </c>
      <c r="O17" s="36" t="s">
        <v>73</v>
      </c>
      <c r="P17" s="36" t="s">
        <v>82</v>
      </c>
      <c r="Q17" s="36" t="s">
        <v>83</v>
      </c>
      <c r="R17" s="36" t="s">
        <v>85</v>
      </c>
      <c r="S17" s="44">
        <v>13</v>
      </c>
      <c r="T17" s="37" t="s">
        <v>102</v>
      </c>
    </row>
    <row r="18" spans="1:20">
      <c r="B18" s="14" t="s">
        <v>114</v>
      </c>
      <c r="N18" s="36" t="s">
        <v>72</v>
      </c>
      <c r="O18" s="36" t="s">
        <v>73</v>
      </c>
      <c r="P18" s="36" t="s">
        <v>82</v>
      </c>
      <c r="Q18" s="36" t="s">
        <v>83</v>
      </c>
      <c r="R18" s="36" t="s">
        <v>86</v>
      </c>
      <c r="S18" s="44">
        <v>14</v>
      </c>
      <c r="T18" s="37" t="s">
        <v>102</v>
      </c>
    </row>
    <row r="19" spans="1:20">
      <c r="A19" s="14" t="s">
        <v>147</v>
      </c>
      <c r="D19" s="11" t="b">
        <v>1</v>
      </c>
      <c r="N19" s="36" t="s">
        <v>72</v>
      </c>
      <c r="O19" s="36" t="s">
        <v>73</v>
      </c>
      <c r="P19" s="36" t="s">
        <v>82</v>
      </c>
      <c r="Q19" s="36" t="s">
        <v>83</v>
      </c>
      <c r="R19" s="36" t="s">
        <v>87</v>
      </c>
      <c r="S19" s="44">
        <v>15</v>
      </c>
      <c r="T19" s="37" t="s">
        <v>102</v>
      </c>
    </row>
    <row r="20" spans="1:20">
      <c r="B20" s="14" t="s">
        <v>109</v>
      </c>
      <c r="D20" s="11" t="b">
        <v>0</v>
      </c>
      <c r="N20" s="36" t="s">
        <v>72</v>
      </c>
      <c r="O20" s="36" t="s">
        <v>73</v>
      </c>
      <c r="P20" s="36" t="s">
        <v>82</v>
      </c>
      <c r="Q20" s="36" t="s">
        <v>83</v>
      </c>
      <c r="R20" s="36" t="s">
        <v>88</v>
      </c>
      <c r="S20" s="44">
        <v>16</v>
      </c>
      <c r="T20" s="37" t="s">
        <v>102</v>
      </c>
    </row>
    <row r="21" spans="1:20">
      <c r="B21" s="14" t="s">
        <v>110</v>
      </c>
      <c r="N21" s="36" t="s">
        <v>72</v>
      </c>
      <c r="O21" s="36" t="s">
        <v>73</v>
      </c>
      <c r="P21" s="36" t="s">
        <v>82</v>
      </c>
      <c r="Q21" s="36" t="s">
        <v>83</v>
      </c>
      <c r="R21" s="36" t="s">
        <v>89</v>
      </c>
      <c r="S21" s="44">
        <v>17</v>
      </c>
      <c r="T21" s="37" t="s">
        <v>102</v>
      </c>
    </row>
    <row r="22" spans="1:20">
      <c r="B22" s="14" t="s">
        <v>113</v>
      </c>
      <c r="D22" s="11" t="s">
        <v>193</v>
      </c>
      <c r="N22" s="36" t="s">
        <v>72</v>
      </c>
      <c r="O22" s="36" t="s">
        <v>73</v>
      </c>
      <c r="P22" s="36" t="s">
        <v>82</v>
      </c>
      <c r="Q22" s="36" t="s">
        <v>83</v>
      </c>
      <c r="R22" s="36" t="s">
        <v>90</v>
      </c>
      <c r="S22" s="44">
        <v>18</v>
      </c>
      <c r="T22" s="37" t="s">
        <v>102</v>
      </c>
    </row>
    <row r="23" spans="1:20">
      <c r="B23" s="14" t="s">
        <v>111</v>
      </c>
      <c r="D23" s="11" t="s">
        <v>59</v>
      </c>
      <c r="N23" s="36" t="s">
        <v>72</v>
      </c>
      <c r="O23" s="36" t="s">
        <v>73</v>
      </c>
      <c r="P23" s="36" t="s">
        <v>82</v>
      </c>
      <c r="Q23" s="36" t="s">
        <v>83</v>
      </c>
      <c r="R23" s="36" t="s">
        <v>91</v>
      </c>
      <c r="S23" s="44">
        <v>19</v>
      </c>
      <c r="T23" s="37" t="s">
        <v>102</v>
      </c>
    </row>
    <row r="24" spans="1:20">
      <c r="B24" s="14" t="s">
        <v>112</v>
      </c>
      <c r="N24" s="36" t="s">
        <v>72</v>
      </c>
      <c r="O24" s="36" t="s">
        <v>73</v>
      </c>
      <c r="P24" s="36" t="s">
        <v>82</v>
      </c>
      <c r="Q24" s="36" t="s">
        <v>83</v>
      </c>
      <c r="R24" s="36" t="s">
        <v>92</v>
      </c>
      <c r="S24" s="44">
        <v>20</v>
      </c>
      <c r="T24" s="37" t="s">
        <v>102</v>
      </c>
    </row>
    <row r="26" spans="1:20" ht="32.4">
      <c r="D26" s="11" t="s">
        <v>8</v>
      </c>
    </row>
    <row r="27" spans="1:20" ht="32.4">
      <c r="D27" s="11" t="s">
        <v>56</v>
      </c>
    </row>
    <row r="30" spans="1:20" ht="16.8" thickBot="1"/>
    <row r="31" spans="1:20" ht="16.8" thickBot="1">
      <c r="D31" s="26" t="s">
        <v>75</v>
      </c>
    </row>
    <row r="32" spans="1:20">
      <c r="D32" s="11" t="str">
        <f>報告藍本!H3</f>
        <v/>
      </c>
    </row>
  </sheetData>
  <phoneticPr fontId="1" type="noConversion"/>
  <pageMargins left="0.7" right="0.7" top="0.75" bottom="0.75" header="0.3" footer="0.3"/>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F763-ABD0-4952-B379-7078C9D8DA57}">
  <sheetPr codeName="工作表9"/>
  <dimension ref="A1:B20"/>
  <sheetViews>
    <sheetView workbookViewId="0">
      <selection sqref="A1:B20"/>
    </sheetView>
  </sheetViews>
  <sheetFormatPr defaultRowHeight="34.200000000000003" customHeight="1"/>
  <cols>
    <col min="1" max="1" width="8.88671875" style="16"/>
    <col min="2" max="16384" width="8.88671875" style="15"/>
  </cols>
  <sheetData>
    <row r="1" spans="1:2" s="17" customFormat="1" ht="34.200000000000003" customHeight="1">
      <c r="A1" s="17" t="s">
        <v>23</v>
      </c>
      <c r="B1" s="17" t="s">
        <v>3</v>
      </c>
    </row>
    <row r="2" spans="1:2" ht="34.200000000000003" customHeight="1">
      <c r="A2" s="87" t="s">
        <v>145</v>
      </c>
      <c r="B2" s="15" t="s">
        <v>105</v>
      </c>
    </row>
    <row r="3" spans="1:2" ht="34.200000000000003" customHeight="1">
      <c r="A3" s="87"/>
      <c r="B3" s="15" t="s">
        <v>108</v>
      </c>
    </row>
    <row r="4" spans="1:2" ht="34.200000000000003" customHeight="1">
      <c r="A4" s="87"/>
      <c r="B4" s="15" t="s">
        <v>106</v>
      </c>
    </row>
    <row r="5" spans="1:2" ht="34.200000000000003" customHeight="1">
      <c r="A5" s="87"/>
      <c r="B5" s="15" t="s">
        <v>107</v>
      </c>
    </row>
    <row r="6" spans="1:2" ht="34.200000000000003" customHeight="1">
      <c r="A6" s="87" t="s">
        <v>151</v>
      </c>
      <c r="B6" s="15" t="s">
        <v>120</v>
      </c>
    </row>
    <row r="7" spans="1:2" ht="34.200000000000003" customHeight="1">
      <c r="A7" s="87"/>
      <c r="B7" s="15" t="s">
        <v>119</v>
      </c>
    </row>
    <row r="8" spans="1:2" ht="34.200000000000003" customHeight="1">
      <c r="A8" s="87"/>
      <c r="B8" s="15" t="s">
        <v>22</v>
      </c>
    </row>
    <row r="9" spans="1:2" ht="34.200000000000003" customHeight="1">
      <c r="A9" s="87"/>
      <c r="B9" s="15" t="s">
        <v>153</v>
      </c>
    </row>
    <row r="10" spans="1:2" ht="34.200000000000003" customHeight="1">
      <c r="A10" s="87"/>
      <c r="B10" s="15" t="s">
        <v>155</v>
      </c>
    </row>
    <row r="11" spans="1:2" ht="34.200000000000003" customHeight="1">
      <c r="A11" s="87" t="s">
        <v>149</v>
      </c>
      <c r="B11" s="15" t="s">
        <v>118</v>
      </c>
    </row>
    <row r="12" spans="1:2" ht="34.200000000000003" customHeight="1">
      <c r="A12" s="87"/>
      <c r="B12" s="15" t="s">
        <v>115</v>
      </c>
    </row>
    <row r="13" spans="1:2" ht="34.200000000000003" customHeight="1">
      <c r="A13" s="87"/>
      <c r="B13" s="15" t="s">
        <v>116</v>
      </c>
    </row>
    <row r="14" spans="1:2" ht="34.200000000000003" customHeight="1">
      <c r="A14" s="87"/>
      <c r="B14" s="15" t="s">
        <v>117</v>
      </c>
    </row>
    <row r="15" spans="1:2" ht="34.200000000000003" customHeight="1">
      <c r="A15" s="87"/>
      <c r="B15" s="15" t="s">
        <v>114</v>
      </c>
    </row>
    <row r="16" spans="1:2" ht="34.200000000000003" customHeight="1">
      <c r="A16" s="87" t="s">
        <v>147</v>
      </c>
      <c r="B16" s="15" t="s">
        <v>109</v>
      </c>
    </row>
    <row r="17" spans="1:2" ht="34.200000000000003" customHeight="1">
      <c r="A17" s="87"/>
      <c r="B17" s="15" t="s">
        <v>110</v>
      </c>
    </row>
    <row r="18" spans="1:2" ht="34.200000000000003" customHeight="1">
      <c r="A18" s="87"/>
      <c r="B18" s="15" t="s">
        <v>113</v>
      </c>
    </row>
    <row r="19" spans="1:2" ht="34.200000000000003" customHeight="1">
      <c r="A19" s="87"/>
      <c r="B19" s="15" t="s">
        <v>111</v>
      </c>
    </row>
    <row r="20" spans="1:2" ht="34.200000000000003" customHeight="1">
      <c r="A20" s="87"/>
      <c r="B20" s="15" t="s">
        <v>112</v>
      </c>
    </row>
  </sheetData>
  <mergeCells count="4">
    <mergeCell ref="A16:A20"/>
    <mergeCell ref="A11:A15"/>
    <mergeCell ref="A6:A10"/>
    <mergeCell ref="A2:A5"/>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110B3-82FD-4917-98EA-E4562140D71A}">
  <sheetPr codeName="工作表5">
    <tabColor rgb="FFFFFF00"/>
  </sheetPr>
  <dimension ref="A1:Q19"/>
  <sheetViews>
    <sheetView zoomScale="70" zoomScaleNormal="70" workbookViewId="0">
      <selection activeCell="D3" sqref="D3"/>
    </sheetView>
  </sheetViews>
  <sheetFormatPr defaultRowHeight="16.2"/>
  <cols>
    <col min="1" max="1" width="22.109375" style="38" customWidth="1"/>
    <col min="2" max="2" width="18.5546875" style="38" customWidth="1"/>
    <col min="3" max="3" width="27.77734375" style="38" customWidth="1"/>
    <col min="4" max="4" width="47.88671875" style="38" customWidth="1"/>
    <col min="5" max="5" width="61.109375" style="39" customWidth="1"/>
    <col min="6" max="6" width="18.5546875" hidden="1" customWidth="1"/>
    <col min="8" max="13" width="8.88671875" style="14"/>
    <col min="15" max="15" width="42.77734375" style="79" bestFit="1" customWidth="1"/>
    <col min="16" max="16" width="45.109375" style="79" bestFit="1" customWidth="1"/>
    <col min="17" max="17" width="0" hidden="1" customWidth="1"/>
  </cols>
  <sheetData>
    <row r="1" spans="1:17" s="83" customFormat="1" ht="22.8" thickBot="1">
      <c r="A1" s="81" t="s">
        <v>76</v>
      </c>
      <c r="B1" s="82"/>
      <c r="C1" s="82"/>
      <c r="D1" s="82"/>
      <c r="E1" s="80" t="s">
        <v>100</v>
      </c>
      <c r="H1" s="100" t="s">
        <v>99</v>
      </c>
      <c r="I1" s="101"/>
      <c r="J1" s="101"/>
      <c r="K1" s="101"/>
      <c r="L1" s="101"/>
      <c r="M1" s="102"/>
      <c r="O1" s="103" t="s">
        <v>177</v>
      </c>
      <c r="P1" s="104"/>
    </row>
    <row r="2" spans="1:17" ht="16.8" thickBot="1">
      <c r="A2" s="38" t="s">
        <v>20</v>
      </c>
      <c r="B2" s="38" t="s">
        <v>97</v>
      </c>
      <c r="C2" s="38" t="s">
        <v>21</v>
      </c>
      <c r="D2" s="38" t="s">
        <v>94</v>
      </c>
      <c r="E2" s="39" t="s">
        <v>95</v>
      </c>
      <c r="F2" s="9" t="s">
        <v>96</v>
      </c>
      <c r="H2" s="88" t="s">
        <v>98</v>
      </c>
      <c r="I2" s="89"/>
      <c r="J2" s="89"/>
      <c r="K2" s="89"/>
      <c r="L2" s="89"/>
      <c r="M2" s="90"/>
      <c r="O2" s="73" t="s">
        <v>158</v>
      </c>
      <c r="P2" s="74" t="s">
        <v>159</v>
      </c>
      <c r="Q2" t="str">
        <f>_xlfn.CONCAT(報告藍本!O2:P2)</f>
        <v>二、  財務狀況：不適用。</v>
      </c>
    </row>
    <row r="3" spans="1:17" ht="75">
      <c r="A3" s="40"/>
      <c r="B3" s="40">
        <v>1</v>
      </c>
      <c r="C3" s="40" t="str">
        <f>工作底稿!B5</f>
        <v>本公司受理線上使用者申請時，是否依其留存身分資料於確認後提供對應之電子支付帳戶，且各類型帳戶收付額度以定額為限。</v>
      </c>
      <c r="D3" s="40">
        <f>工作底稿!F9</f>
        <v>0</v>
      </c>
      <c r="E3" s="41"/>
      <c r="F3" s="31" t="str">
        <f>IF(LEN(表格9[[#This Row],[報告內容]])&gt;0,Temporary!T5&amp;Temporary!S5&amp;Temporary!Q5&amp;表格9[[#This Row],[報告內容]],"")</f>
        <v/>
      </c>
      <c r="H3" s="91" t="str">
        <f>_xlfn.TEXTJOIN(CHAR(10),1,表格9[依輸出內容])</f>
        <v/>
      </c>
      <c r="I3" s="92"/>
      <c r="J3" s="92"/>
      <c r="K3" s="92"/>
      <c r="L3" s="92"/>
      <c r="M3" s="93"/>
      <c r="O3" s="75" t="s">
        <v>160</v>
      </c>
      <c r="P3" s="76" t="s">
        <v>159</v>
      </c>
      <c r="Q3" t="str">
        <f>_xlfn.CONCAT(報告藍本!O3:P3)</f>
        <v>三、  經營績效：不適用。</v>
      </c>
    </row>
    <row r="4" spans="1:17" ht="45">
      <c r="A4" s="40"/>
      <c r="B4" s="40">
        <v>2</v>
      </c>
      <c r="C4" s="40" t="str">
        <f>工作底稿!B6</f>
        <v>本公司線上申請之使用者欲調整交易額度是否符合相關規定。</v>
      </c>
      <c r="D4" s="40">
        <f>工作底稿!F5</f>
        <v>0</v>
      </c>
      <c r="E4" s="41"/>
      <c r="F4" s="31" t="str">
        <f>IF(LEN(表格9[[#This Row],[報告內容]])&gt;0,Temporary!T6&amp;Temporary!S6&amp;Temporary!Q6&amp;表格9[[#This Row],[報告內容]],"")</f>
        <v/>
      </c>
      <c r="H4" s="94"/>
      <c r="I4" s="95"/>
      <c r="J4" s="95"/>
      <c r="K4" s="95"/>
      <c r="L4" s="95"/>
      <c r="M4" s="96"/>
      <c r="O4" s="75" t="s">
        <v>161</v>
      </c>
      <c r="P4" s="76" t="s">
        <v>159</v>
      </c>
      <c r="Q4" t="str">
        <f>_xlfn.CONCAT(報告藍本!O4:P4)</f>
        <v>四、  資產品質：不適用。</v>
      </c>
    </row>
    <row r="5" spans="1:17" ht="60">
      <c r="A5" s="40"/>
      <c r="B5" s="40">
        <v>3</v>
      </c>
      <c r="C5" s="40" t="str">
        <f>工作底稿!B7</f>
        <v>使用者之資料是否存入全支付後台管理系統，且使用者收款額度或額度調整等事項是否保留紀錄。</v>
      </c>
      <c r="D5" s="40">
        <f>工作底稿!F7</f>
        <v>0</v>
      </c>
      <c r="E5" s="41"/>
      <c r="F5" s="31" t="str">
        <f>IF(LEN(表格9[[#This Row],[報告內容]])&gt;0,Temporary!T7&amp;Temporary!S7&amp;Temporary!Q7&amp;表格9[[#This Row],[報告內容]],"")</f>
        <v/>
      </c>
      <c r="H5" s="94"/>
      <c r="I5" s="95"/>
      <c r="J5" s="95"/>
      <c r="K5" s="95"/>
      <c r="L5" s="95"/>
      <c r="M5" s="96"/>
      <c r="O5" s="75" t="s">
        <v>162</v>
      </c>
      <c r="P5" s="76" t="s">
        <v>159</v>
      </c>
      <c r="Q5" t="str">
        <f>_xlfn.CONCAT(報告藍本!O5:P5)</f>
        <v>五、  董事會議事運作之管理：不適用。</v>
      </c>
    </row>
    <row r="6" spans="1:17" ht="60">
      <c r="A6" s="40"/>
      <c r="B6" s="40">
        <v>4</v>
      </c>
      <c r="C6" s="40" t="str">
        <f>工作底稿!B8</f>
        <v>若使用者之收款額度如有逾越一般管理額度時，是否經過權責主管核准後並保留相關紀錄。</v>
      </c>
      <c r="D6" s="40">
        <f>工作底稿!F6</f>
        <v>0</v>
      </c>
      <c r="E6" s="41"/>
      <c r="F6" s="31" t="str">
        <f>IF(LEN(表格9[[#This Row],[報告內容]])&gt;0,Temporary!T8&amp;Temporary!S8&amp;Temporary!Q8&amp;表格9[[#This Row],[報告內容]],"")</f>
        <v/>
      </c>
      <c r="H6" s="94"/>
      <c r="I6" s="95"/>
      <c r="J6" s="95"/>
      <c r="K6" s="95"/>
      <c r="L6" s="95"/>
      <c r="M6" s="96"/>
      <c r="O6" s="75" t="s">
        <v>163</v>
      </c>
      <c r="P6" s="76" t="s">
        <v>164</v>
      </c>
      <c r="Q6" t="str">
        <f>_xlfn.CONCAT(報告藍本!O6:P6)</f>
        <v>六、  法令遵循：尚符合規定。</v>
      </c>
    </row>
    <row r="7" spans="1:17" ht="45">
      <c r="A7" s="40"/>
      <c r="B7" s="40">
        <v>5</v>
      </c>
      <c r="C7" s="40" t="str">
        <f>工作底稿!B9</f>
        <v>本公司代收以新臺幣繳納儲值款項作業委外之管理，是否符合相關規範辦理。</v>
      </c>
      <c r="D7" s="40">
        <f>工作底稿!F8</f>
        <v>0</v>
      </c>
      <c r="E7" s="41"/>
      <c r="F7" s="31" t="str">
        <f>IF(LEN(表格9[[#This Row],[報告內容]])&gt;0,Temporary!T9&amp;Temporary!S9&amp;Temporary!Q9&amp;表格9[[#This Row],[報告內容]],"")</f>
        <v/>
      </c>
      <c r="H7" s="94"/>
      <c r="I7" s="95"/>
      <c r="J7" s="95"/>
      <c r="K7" s="95"/>
      <c r="L7" s="95"/>
      <c r="M7" s="96"/>
      <c r="O7" s="75" t="s">
        <v>165</v>
      </c>
      <c r="P7" s="76" t="s">
        <v>164</v>
      </c>
      <c r="Q7" t="str">
        <f>_xlfn.CONCAT(報告藍本!O7:P7)</f>
        <v>七、  內部控制：尚符合規定。</v>
      </c>
    </row>
    <row r="8" spans="1:17" ht="45">
      <c r="A8" s="40"/>
      <c r="B8" s="40">
        <v>6</v>
      </c>
      <c r="C8" s="40" t="str">
        <f>工作底稿!B10</f>
        <v>本公司收付訊息處理作業委外之管理，是否符合相關規範辦理。</v>
      </c>
      <c r="D8" s="40">
        <f>工作底稿!F10</f>
        <v>0</v>
      </c>
      <c r="E8" s="56"/>
      <c r="F8" s="31" t="str">
        <f>IF(LEN(表格9[[#This Row],[報告內容]])&gt;0,Temporary!T10&amp;Temporary!S10&amp;Temporary!Q10&amp;表格9[[#This Row],[報告內容]],"")</f>
        <v/>
      </c>
      <c r="H8" s="94"/>
      <c r="I8" s="95"/>
      <c r="J8" s="95"/>
      <c r="K8" s="95"/>
      <c r="L8" s="95"/>
      <c r="M8" s="96"/>
      <c r="O8" s="75" t="s">
        <v>166</v>
      </c>
      <c r="P8" s="76" t="s">
        <v>167</v>
      </c>
      <c r="Q8" t="str">
        <f>_xlfn.CONCAT(報告藍本!O8:P8)</f>
        <v>八、  各項業務作業控制與內部管理：除下列發現事項外，其餘尚符合相關規定。</v>
      </c>
    </row>
    <row r="9" spans="1:17" ht="60">
      <c r="A9" s="40"/>
      <c r="B9" s="40">
        <v>7</v>
      </c>
      <c r="C9" s="40" t="str">
        <f>工作底稿!B11</f>
        <v>有關資訊作業委外相關事項是否依據本公司「第三方服務資訊安全管理辦法」之要求據以執行。</v>
      </c>
      <c r="D9" s="40">
        <f>工作底稿!F11</f>
        <v>0</v>
      </c>
      <c r="E9" s="41"/>
      <c r="F9" s="31" t="str">
        <f>IF(LEN(表格9[[#This Row],[報告內容]])&gt;0,Temporary!T11&amp;Temporary!S11&amp;Temporary!Q11&amp;表格9[[#This Row],[報告內容]],"")</f>
        <v/>
      </c>
      <c r="H9" s="94"/>
      <c r="I9" s="95"/>
      <c r="J9" s="95"/>
      <c r="K9" s="95"/>
      <c r="L9" s="95"/>
      <c r="M9" s="96"/>
      <c r="O9" s="75" t="s">
        <v>168</v>
      </c>
      <c r="P9" s="76" t="s">
        <v>159</v>
      </c>
      <c r="Q9" t="str">
        <f>_xlfn.CONCAT(報告藍本!O9:P9)</f>
        <v>九、  使用者及特約機構資料保密管理：不適用。</v>
      </c>
    </row>
    <row r="10" spans="1:17" ht="16.2" customHeight="1">
      <c r="H10" s="94"/>
      <c r="I10" s="95"/>
      <c r="J10" s="95"/>
      <c r="K10" s="95"/>
      <c r="L10" s="95"/>
      <c r="M10" s="96"/>
      <c r="O10" s="75" t="s">
        <v>169</v>
      </c>
      <c r="P10" s="76" t="s">
        <v>167</v>
      </c>
      <c r="Q10" t="str">
        <f>_xlfn.CONCAT(報告藍本!O10:P10)</f>
        <v>十、  資訊管理：除下列發現事項外，其餘尚符合相關規定。</v>
      </c>
    </row>
    <row r="11" spans="1:17" ht="16.2" customHeight="1">
      <c r="H11" s="94"/>
      <c r="I11" s="95"/>
      <c r="J11" s="95"/>
      <c r="K11" s="95"/>
      <c r="L11" s="95"/>
      <c r="M11" s="96"/>
      <c r="O11" s="75" t="s">
        <v>170</v>
      </c>
      <c r="P11" s="76" t="s">
        <v>164</v>
      </c>
      <c r="Q11" t="str">
        <f>_xlfn.CONCAT(報告藍本!O11:P11)</f>
        <v>十一、 員工保密教育：尚符合規定。</v>
      </c>
    </row>
    <row r="12" spans="1:17" ht="16.2" customHeight="1">
      <c r="H12" s="94"/>
      <c r="I12" s="95"/>
      <c r="J12" s="95"/>
      <c r="K12" s="95"/>
      <c r="L12" s="95"/>
      <c r="M12" s="96"/>
      <c r="O12" s="75" t="s">
        <v>171</v>
      </c>
      <c r="P12" s="76" t="s">
        <v>159</v>
      </c>
      <c r="Q12" t="str">
        <f>_xlfn.CONCAT(報告藍本!O12:P12)</f>
        <v>十二、 金融消費者權益保護措施：不適用。</v>
      </c>
    </row>
    <row r="13" spans="1:17" ht="16.2" customHeight="1">
      <c r="H13" s="94"/>
      <c r="I13" s="95"/>
      <c r="J13" s="95"/>
      <c r="K13" s="95"/>
      <c r="L13" s="95"/>
      <c r="M13" s="96"/>
      <c r="O13" s="75" t="s">
        <v>172</v>
      </c>
      <c r="P13" s="76" t="s">
        <v>173</v>
      </c>
      <c r="Q13" t="str">
        <f>_xlfn.CONCAT(報告藍本!O13:P13)</f>
        <v>十三、 自行查核辦理情形：辦理自行查核作業尚符合規定。</v>
      </c>
    </row>
    <row r="14" spans="1:17" ht="15">
      <c r="H14" s="94"/>
      <c r="I14" s="95"/>
      <c r="J14" s="95"/>
      <c r="K14" s="95"/>
      <c r="L14" s="95"/>
      <c r="M14" s="96"/>
      <c r="O14" s="75" t="s">
        <v>174</v>
      </c>
      <c r="P14" s="76" t="s">
        <v>175</v>
      </c>
      <c r="Q14" t="str">
        <f>_xlfn.CONCAT(報告藍本!O14:P14)</f>
        <v>十四、 其他說明事項：無。</v>
      </c>
    </row>
    <row r="15" spans="1:17" ht="16.2" customHeight="1">
      <c r="H15" s="94"/>
      <c r="I15" s="95"/>
      <c r="J15" s="95"/>
      <c r="K15" s="95"/>
      <c r="L15" s="95"/>
      <c r="M15" s="96"/>
      <c r="O15" s="75" t="s">
        <v>178</v>
      </c>
      <c r="P15" s="76" t="s">
        <v>159</v>
      </c>
      <c r="Q15" t="str">
        <f>_xlfn.CONCAT(報告藍本!O15:P15)</f>
        <v>十二、金融消費者權益保護措施：不適用。</v>
      </c>
    </row>
    <row r="16" spans="1:17" ht="16.2" customHeight="1">
      <c r="H16" s="94"/>
      <c r="I16" s="95"/>
      <c r="J16" s="95"/>
      <c r="K16" s="95"/>
      <c r="L16" s="95"/>
      <c r="M16" s="96"/>
      <c r="O16" s="75" t="s">
        <v>179</v>
      </c>
      <c r="P16" s="76" t="s">
        <v>173</v>
      </c>
      <c r="Q16" t="str">
        <f>_xlfn.CONCAT(報告藍本!O16:P16)</f>
        <v>十三、自行查核辦理情形：辦理自行查核作業尚符合規定。</v>
      </c>
    </row>
    <row r="17" spans="8:17" ht="16.2" customHeight="1" thickBot="1">
      <c r="H17" s="97"/>
      <c r="I17" s="98"/>
      <c r="J17" s="98"/>
      <c r="K17" s="98"/>
      <c r="L17" s="98"/>
      <c r="M17" s="99"/>
      <c r="O17" s="75" t="s">
        <v>180</v>
      </c>
      <c r="P17" s="76" t="s">
        <v>175</v>
      </c>
      <c r="Q17" t="str">
        <f>_xlfn.CONCAT(報告藍本!O17:P17)</f>
        <v>十四、其他說明事項：無。</v>
      </c>
    </row>
    <row r="18" spans="8:17">
      <c r="O18" s="75"/>
      <c r="P18" s="76"/>
    </row>
    <row r="19" spans="8:17" ht="16.8" thickBot="1">
      <c r="O19" s="77"/>
      <c r="P19" s="78"/>
    </row>
  </sheetData>
  <mergeCells count="4">
    <mergeCell ref="H2:M2"/>
    <mergeCell ref="H3:M17"/>
    <mergeCell ref="H1:M1"/>
    <mergeCell ref="O1:P1"/>
  </mergeCells>
  <phoneticPr fontId="1" type="noConversion"/>
  <pageMargins left="0.7" right="0.7" top="0.75" bottom="0.75" header="0.3" footer="0.3"/>
  <pageSetup paperSize="9" orientation="portrait"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32B67-BC3A-4DA6-B56E-0BEE01AAADA9}">
  <sheetPr codeName="工作表4">
    <tabColor theme="9"/>
    <pageSetUpPr fitToPage="1"/>
  </sheetPr>
  <dimension ref="A1:D27"/>
  <sheetViews>
    <sheetView workbookViewId="0">
      <selection activeCell="C8" sqref="C8:C27"/>
    </sheetView>
  </sheetViews>
  <sheetFormatPr defaultColWidth="6.109375" defaultRowHeight="16.2"/>
  <cols>
    <col min="1" max="1" width="11.33203125" style="8" customWidth="1"/>
    <col min="2" max="2" width="85" style="8" customWidth="1"/>
    <col min="3" max="3" width="37.77734375" style="7" customWidth="1"/>
    <col min="4" max="4" width="20.6640625" style="8" bestFit="1" customWidth="1"/>
    <col min="5" max="16384" width="6.109375" style="8"/>
  </cols>
  <sheetData>
    <row r="1" spans="1:4" ht="19.8">
      <c r="A1" s="5" t="s">
        <v>121</v>
      </c>
      <c r="B1" s="5"/>
    </row>
    <row r="2" spans="1:4" ht="19.8">
      <c r="A2" s="5" t="s">
        <v>190</v>
      </c>
      <c r="B2" s="5"/>
    </row>
    <row r="3" spans="1:4" ht="19.8">
      <c r="A3" s="5" t="s">
        <v>54</v>
      </c>
      <c r="B3" s="5"/>
    </row>
    <row r="4" spans="1:4" ht="19.8">
      <c r="A4" s="5" t="s">
        <v>52</v>
      </c>
      <c r="B4" s="5"/>
    </row>
    <row r="5" spans="1:4" ht="19.8">
      <c r="A5" s="5" t="s">
        <v>192</v>
      </c>
      <c r="B5" s="5"/>
    </row>
    <row r="6" spans="1:4" ht="52.2" customHeight="1">
      <c r="A6" s="105" t="s">
        <v>19</v>
      </c>
      <c r="B6" s="105"/>
      <c r="C6" s="105"/>
      <c r="D6" s="105"/>
    </row>
    <row r="7" spans="1:4" s="57" customFormat="1" ht="15" customHeight="1">
      <c r="A7" s="108" t="s">
        <v>18</v>
      </c>
      <c r="B7" s="109"/>
      <c r="C7" s="109"/>
      <c r="D7" s="106" t="s">
        <v>6</v>
      </c>
    </row>
    <row r="8" spans="1:4" s="57" customFormat="1">
      <c r="A8" s="17" t="s">
        <v>23</v>
      </c>
      <c r="B8" s="54" t="s">
        <v>3</v>
      </c>
      <c r="C8" s="84" t="s">
        <v>191</v>
      </c>
      <c r="D8" s="107"/>
    </row>
    <row r="9" spans="1:4" ht="48.6" customHeight="1">
      <c r="A9" s="87" t="s">
        <v>145</v>
      </c>
      <c r="B9" s="58" t="s">
        <v>105</v>
      </c>
      <c r="C9" s="18"/>
      <c r="D9" s="85"/>
    </row>
    <row r="10" spans="1:4" ht="48.6" customHeight="1">
      <c r="A10" s="87"/>
      <c r="B10" s="58" t="s">
        <v>108</v>
      </c>
      <c r="C10" s="18"/>
      <c r="D10" s="85"/>
    </row>
    <row r="11" spans="1:4" ht="48.6" customHeight="1">
      <c r="A11" s="87"/>
      <c r="B11" s="58" t="s">
        <v>106</v>
      </c>
      <c r="C11" s="18"/>
      <c r="D11" s="85"/>
    </row>
    <row r="12" spans="1:4" ht="48.6" customHeight="1">
      <c r="A12" s="87"/>
      <c r="B12" s="58" t="s">
        <v>107</v>
      </c>
      <c r="C12" s="18"/>
      <c r="D12" s="85"/>
    </row>
    <row r="13" spans="1:4" ht="46.8" customHeight="1">
      <c r="A13" s="87" t="s">
        <v>151</v>
      </c>
      <c r="B13" s="58" t="s">
        <v>120</v>
      </c>
      <c r="C13" s="18"/>
      <c r="D13" s="85"/>
    </row>
    <row r="14" spans="1:4" ht="46.8" customHeight="1">
      <c r="A14" s="87"/>
      <c r="B14" s="58" t="s">
        <v>119</v>
      </c>
      <c r="C14" s="18"/>
      <c r="D14" s="85"/>
    </row>
    <row r="15" spans="1:4" ht="46.8" customHeight="1">
      <c r="A15" s="87"/>
      <c r="B15" s="58" t="s">
        <v>22</v>
      </c>
      <c r="C15" s="18"/>
      <c r="D15" s="85"/>
    </row>
    <row r="16" spans="1:4" ht="46.8" customHeight="1">
      <c r="A16" s="87"/>
      <c r="B16" s="58" t="s">
        <v>153</v>
      </c>
      <c r="C16" s="18"/>
      <c r="D16" s="85"/>
    </row>
    <row r="17" spans="1:4" ht="46.8" customHeight="1">
      <c r="A17" s="87"/>
      <c r="B17" s="58" t="s">
        <v>155</v>
      </c>
      <c r="C17" s="18"/>
      <c r="D17" s="85"/>
    </row>
    <row r="18" spans="1:4" ht="48.6" customHeight="1">
      <c r="A18" s="87" t="s">
        <v>149</v>
      </c>
      <c r="B18" s="58" t="s">
        <v>118</v>
      </c>
      <c r="C18" s="18"/>
      <c r="D18" s="85"/>
    </row>
    <row r="19" spans="1:4" ht="48.6" customHeight="1">
      <c r="A19" s="87"/>
      <c r="B19" s="58" t="s">
        <v>115</v>
      </c>
      <c r="C19" s="18"/>
      <c r="D19" s="85"/>
    </row>
    <row r="20" spans="1:4" ht="48.6" customHeight="1">
      <c r="A20" s="87"/>
      <c r="B20" s="58" t="s">
        <v>116</v>
      </c>
      <c r="C20" s="18"/>
      <c r="D20" s="85"/>
    </row>
    <row r="21" spans="1:4" ht="48.6" customHeight="1">
      <c r="A21" s="87"/>
      <c r="B21" s="58" t="s">
        <v>117</v>
      </c>
      <c r="C21" s="18"/>
      <c r="D21" s="85"/>
    </row>
    <row r="22" spans="1:4" ht="48.6" customHeight="1">
      <c r="A22" s="87"/>
      <c r="B22" s="58" t="s">
        <v>114</v>
      </c>
      <c r="C22" s="18"/>
      <c r="D22" s="85"/>
    </row>
    <row r="23" spans="1:4" ht="47.4" customHeight="1">
      <c r="A23" s="87" t="s">
        <v>147</v>
      </c>
      <c r="B23" s="58" t="s">
        <v>109</v>
      </c>
      <c r="C23" s="18"/>
      <c r="D23" s="85"/>
    </row>
    <row r="24" spans="1:4" ht="47.4" customHeight="1">
      <c r="A24" s="87"/>
      <c r="B24" s="58" t="s">
        <v>110</v>
      </c>
      <c r="C24" s="18"/>
      <c r="D24" s="85"/>
    </row>
    <row r="25" spans="1:4" ht="47.4" customHeight="1">
      <c r="A25" s="87"/>
      <c r="B25" s="58" t="s">
        <v>113</v>
      </c>
      <c r="C25" s="18"/>
      <c r="D25" s="85"/>
    </row>
    <row r="26" spans="1:4" ht="47.4" customHeight="1">
      <c r="A26" s="87"/>
      <c r="B26" s="58" t="s">
        <v>111</v>
      </c>
      <c r="C26" s="18"/>
      <c r="D26" s="85"/>
    </row>
    <row r="27" spans="1:4" ht="34.799999999999997" customHeight="1">
      <c r="A27" s="87"/>
      <c r="B27" s="58" t="s">
        <v>112</v>
      </c>
      <c r="C27" s="18"/>
      <c r="D27" s="85"/>
    </row>
  </sheetData>
  <mergeCells count="7">
    <mergeCell ref="A9:A12"/>
    <mergeCell ref="A13:A17"/>
    <mergeCell ref="A18:A22"/>
    <mergeCell ref="A23:A27"/>
    <mergeCell ref="A6:D6"/>
    <mergeCell ref="D7:D8"/>
    <mergeCell ref="A7:C7"/>
  </mergeCells>
  <phoneticPr fontId="1" type="noConversion"/>
  <pageMargins left="0.23622047244094491" right="0.23622047244094491" top="0.35433070866141736" bottom="0.35433070866141736" header="0.31496062992125984" footer="0.31496062992125984"/>
  <pageSetup paperSize="9" scale="8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9"/>
    <pageSetUpPr fitToPage="1"/>
  </sheetPr>
  <dimension ref="A1:G23"/>
  <sheetViews>
    <sheetView workbookViewId="0">
      <selection activeCell="C5" sqref="C5:G23"/>
    </sheetView>
  </sheetViews>
  <sheetFormatPr defaultRowHeight="16.2"/>
  <cols>
    <col min="1" max="1" width="11.88671875" style="11" customWidth="1"/>
    <col min="2" max="2" width="66.21875" style="11" customWidth="1"/>
    <col min="3" max="3" width="9.44140625" bestFit="1" customWidth="1"/>
    <col min="4" max="4" width="7"/>
    <col min="5" max="5" width="29.33203125" customWidth="1"/>
    <col min="6" max="6" width="43" customWidth="1"/>
    <col min="7" max="7" width="18.109375" customWidth="1"/>
  </cols>
  <sheetData>
    <row r="1" spans="1:7" ht="22.2" customHeight="1">
      <c r="A1" s="10"/>
      <c r="B1" s="10"/>
      <c r="C1" s="1" t="s">
        <v>54</v>
      </c>
      <c r="D1" s="1"/>
      <c r="E1" s="1"/>
      <c r="F1" s="1" t="s">
        <v>55</v>
      </c>
    </row>
    <row r="2" spans="1:7" ht="22.2" customHeight="1">
      <c r="A2" s="10"/>
      <c r="B2" s="10"/>
      <c r="C2" s="1" t="s">
        <v>190</v>
      </c>
      <c r="D2" s="1"/>
      <c r="E2" s="1"/>
      <c r="F2" s="1" t="s">
        <v>52</v>
      </c>
      <c r="G2" s="1"/>
    </row>
    <row r="3" spans="1:7" ht="18" customHeight="1">
      <c r="A3" s="12"/>
      <c r="B3" s="12"/>
      <c r="C3" s="112" t="s">
        <v>4</v>
      </c>
      <c r="D3" s="112"/>
      <c r="E3" s="112"/>
      <c r="F3" s="110" t="s">
        <v>6</v>
      </c>
      <c r="G3" s="110" t="s">
        <v>0</v>
      </c>
    </row>
    <row r="4" spans="1:7" ht="35.4" customHeight="1">
      <c r="A4" s="17" t="s">
        <v>23</v>
      </c>
      <c r="B4" s="17" t="s">
        <v>3</v>
      </c>
      <c r="C4" s="60" t="s">
        <v>1</v>
      </c>
      <c r="D4" s="60" t="s">
        <v>2</v>
      </c>
      <c r="E4" s="60" t="s">
        <v>5</v>
      </c>
      <c r="F4" s="111"/>
      <c r="G4" s="111"/>
    </row>
    <row r="5" spans="1:7" ht="48" customHeight="1">
      <c r="A5" s="87" t="s">
        <v>145</v>
      </c>
      <c r="B5" s="58" t="s">
        <v>105</v>
      </c>
      <c r="C5" s="19"/>
      <c r="D5" s="20"/>
      <c r="E5" s="21"/>
      <c r="F5" s="19" cm="1">
        <f t="array" ref="F5:F23">表格2[實際執行事項說明]</f>
        <v>0</v>
      </c>
      <c r="G5" s="2"/>
    </row>
    <row r="6" spans="1:7" ht="48" customHeight="1">
      <c r="A6" s="87"/>
      <c r="B6" s="58" t="s">
        <v>108</v>
      </c>
      <c r="C6" s="19"/>
      <c r="D6" s="20"/>
      <c r="E6" s="21"/>
      <c r="F6" s="19">
        <v>0</v>
      </c>
      <c r="G6" s="2"/>
    </row>
    <row r="7" spans="1:7" ht="48" customHeight="1">
      <c r="A7" s="87"/>
      <c r="B7" s="58" t="s">
        <v>106</v>
      </c>
      <c r="C7" s="19"/>
      <c r="D7" s="20"/>
      <c r="E7" s="21"/>
      <c r="F7" s="19">
        <v>0</v>
      </c>
      <c r="G7" s="2"/>
    </row>
    <row r="8" spans="1:7" ht="48" customHeight="1">
      <c r="A8" s="87"/>
      <c r="B8" s="58" t="s">
        <v>107</v>
      </c>
      <c r="C8" s="19"/>
      <c r="D8" s="20"/>
      <c r="E8" s="21"/>
      <c r="F8" s="19">
        <v>0</v>
      </c>
      <c r="G8" s="2"/>
    </row>
    <row r="9" spans="1:7" ht="57" customHeight="1">
      <c r="A9" s="87" t="s">
        <v>151</v>
      </c>
      <c r="B9" s="58" t="s">
        <v>120</v>
      </c>
      <c r="C9" s="19"/>
      <c r="D9" s="19"/>
      <c r="E9" s="19"/>
      <c r="F9" s="19">
        <v>0</v>
      </c>
      <c r="G9" s="2"/>
    </row>
    <row r="10" spans="1:7" ht="57" customHeight="1">
      <c r="A10" s="87"/>
      <c r="B10" s="58" t="s">
        <v>119</v>
      </c>
      <c r="C10" s="19"/>
      <c r="D10" s="19"/>
      <c r="E10" s="19"/>
      <c r="F10" s="19">
        <v>0</v>
      </c>
      <c r="G10" s="2"/>
    </row>
    <row r="11" spans="1:7" ht="57" customHeight="1">
      <c r="A11" s="87"/>
      <c r="B11" s="58" t="s">
        <v>22</v>
      </c>
      <c r="C11" s="19"/>
      <c r="D11" s="19"/>
      <c r="E11" s="19"/>
      <c r="F11" s="19">
        <v>0</v>
      </c>
      <c r="G11" s="2"/>
    </row>
    <row r="12" spans="1:7" ht="57" customHeight="1">
      <c r="A12" s="87"/>
      <c r="B12" s="58" t="s">
        <v>153</v>
      </c>
      <c r="C12" s="53"/>
      <c r="D12" s="53"/>
      <c r="E12" s="53"/>
      <c r="F12" s="53">
        <v>0</v>
      </c>
      <c r="G12" s="53"/>
    </row>
    <row r="13" spans="1:7" ht="57" customHeight="1">
      <c r="A13" s="87"/>
      <c r="B13" s="58" t="s">
        <v>155</v>
      </c>
      <c r="C13" s="53"/>
      <c r="D13" s="53"/>
      <c r="E13" s="53"/>
      <c r="F13" s="53">
        <v>0</v>
      </c>
      <c r="G13" s="53"/>
    </row>
    <row r="14" spans="1:7" ht="49.8" customHeight="1">
      <c r="A14" s="87" t="s">
        <v>149</v>
      </c>
      <c r="B14" s="58" t="s">
        <v>118</v>
      </c>
      <c r="C14" s="53"/>
      <c r="D14" s="53"/>
      <c r="E14" s="53"/>
      <c r="F14" s="53">
        <v>0</v>
      </c>
      <c r="G14" s="53"/>
    </row>
    <row r="15" spans="1:7" ht="49.8" customHeight="1">
      <c r="A15" s="87"/>
      <c r="B15" s="58" t="s">
        <v>115</v>
      </c>
      <c r="C15" s="53"/>
      <c r="D15" s="53"/>
      <c r="E15" s="53"/>
      <c r="F15" s="53">
        <v>0</v>
      </c>
      <c r="G15" s="53"/>
    </row>
    <row r="16" spans="1:7" ht="49.8" customHeight="1">
      <c r="A16" s="87"/>
      <c r="B16" s="58" t="s">
        <v>116</v>
      </c>
      <c r="C16" s="53"/>
      <c r="D16" s="53"/>
      <c r="E16" s="53"/>
      <c r="F16" s="53">
        <v>0</v>
      </c>
      <c r="G16" s="53"/>
    </row>
    <row r="17" spans="1:7" ht="49.8" customHeight="1">
      <c r="A17" s="87"/>
      <c r="B17" s="58" t="s">
        <v>117</v>
      </c>
      <c r="C17" s="53"/>
      <c r="D17" s="53"/>
      <c r="E17" s="53"/>
      <c r="F17" s="53">
        <v>0</v>
      </c>
      <c r="G17" s="53"/>
    </row>
    <row r="18" spans="1:7" ht="49.8" customHeight="1">
      <c r="A18" s="87"/>
      <c r="B18" s="58" t="s">
        <v>114</v>
      </c>
      <c r="C18" s="53"/>
      <c r="D18" s="53"/>
      <c r="E18" s="53"/>
      <c r="F18" s="53">
        <v>0</v>
      </c>
      <c r="G18" s="53"/>
    </row>
    <row r="19" spans="1:7" ht="51.6" customHeight="1">
      <c r="A19" s="87" t="s">
        <v>147</v>
      </c>
      <c r="B19" s="58" t="s">
        <v>109</v>
      </c>
      <c r="C19" s="53"/>
      <c r="D19" s="53"/>
      <c r="E19" s="53"/>
      <c r="F19" s="53">
        <v>0</v>
      </c>
      <c r="G19" s="53"/>
    </row>
    <row r="20" spans="1:7" ht="51.6" customHeight="1">
      <c r="A20" s="87"/>
      <c r="B20" s="58" t="s">
        <v>110</v>
      </c>
      <c r="C20" s="53"/>
      <c r="D20" s="53"/>
      <c r="E20" s="53"/>
      <c r="F20" s="53">
        <v>0</v>
      </c>
      <c r="G20" s="53"/>
    </row>
    <row r="21" spans="1:7" ht="51.6" customHeight="1">
      <c r="A21" s="87"/>
      <c r="B21" s="58" t="s">
        <v>113</v>
      </c>
      <c r="C21" s="53"/>
      <c r="D21" s="53"/>
      <c r="E21" s="53"/>
      <c r="F21" s="53">
        <v>0</v>
      </c>
      <c r="G21" s="53"/>
    </row>
    <row r="22" spans="1:7" ht="51.6" customHeight="1">
      <c r="A22" s="87"/>
      <c r="B22" s="58" t="s">
        <v>111</v>
      </c>
      <c r="C22" s="53"/>
      <c r="D22" s="53"/>
      <c r="E22" s="53"/>
      <c r="F22" s="53">
        <v>0</v>
      </c>
      <c r="G22" s="53"/>
    </row>
    <row r="23" spans="1:7">
      <c r="A23" s="87"/>
      <c r="B23" s="58" t="s">
        <v>112</v>
      </c>
      <c r="C23" s="53"/>
      <c r="D23" s="53"/>
      <c r="E23" s="53"/>
      <c r="F23" s="53">
        <v>0</v>
      </c>
      <c r="G23" s="53"/>
    </row>
  </sheetData>
  <mergeCells count="7">
    <mergeCell ref="A19:A23"/>
    <mergeCell ref="A14:A18"/>
    <mergeCell ref="G3:G4"/>
    <mergeCell ref="C3:E3"/>
    <mergeCell ref="F3:F4"/>
    <mergeCell ref="A5:A8"/>
    <mergeCell ref="A9:A13"/>
  </mergeCells>
  <phoneticPr fontId="1" type="noConversion"/>
  <printOptions horizontalCentered="1" verticalCentered="1"/>
  <pageMargins left="0.78740157480314965" right="0.78740157480314965" top="0.6692913385826772" bottom="0.6692913385826772" header="0.51181102362204722" footer="0.51181102362204722"/>
  <pageSetup paperSize="9" scale="70" fitToHeight="0" orientation="landscape" r:id="rId1"/>
  <headerFooter>
    <oddHeader>&amp;C&amp;"標楷體,標準"&amp;14全支付電子支付股份有限公司
查核工作底稿</oddHeader>
    <oddFooter xml:space="preserve">&amp;C &amp;P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7FC14-7546-4AAD-8BEA-F16EBF398100}">
  <sheetPr codeName="工作表3">
    <tabColor theme="9"/>
    <pageSetUpPr fitToPage="1"/>
  </sheetPr>
  <dimension ref="B1:E35"/>
  <sheetViews>
    <sheetView view="pageBreakPreview" topLeftCell="A12" zoomScale="40" zoomScaleNormal="55" zoomScaleSheetLayoutView="40" zoomScalePageLayoutView="55" workbookViewId="0">
      <selection activeCell="H18" sqref="H18"/>
    </sheetView>
  </sheetViews>
  <sheetFormatPr defaultColWidth="108" defaultRowHeight="15"/>
  <cols>
    <col min="1" max="1" width="3.33203125" style="48" customWidth="1"/>
    <col min="2" max="2" width="14.21875" style="48" customWidth="1"/>
    <col min="3" max="3" width="108" style="48"/>
    <col min="4" max="4" width="142.33203125" style="48" customWidth="1"/>
    <col min="5" max="5" width="3.33203125" style="48" customWidth="1"/>
    <col min="6" max="16384" width="108" style="48"/>
  </cols>
  <sheetData>
    <row r="1" spans="2:4" ht="109.95" customHeight="1"/>
    <row r="2" spans="2:4" ht="235.8" customHeight="1">
      <c r="B2" s="120" t="s">
        <v>58</v>
      </c>
      <c r="C2" s="120"/>
      <c r="D2" s="120"/>
    </row>
    <row r="3" spans="2:4" ht="331.2" customHeight="1">
      <c r="B3" s="121" t="s">
        <v>193</v>
      </c>
      <c r="C3" s="121"/>
      <c r="D3" s="121"/>
    </row>
    <row r="4" spans="2:4" ht="28.2">
      <c r="B4" s="122" t="s">
        <v>194</v>
      </c>
      <c r="C4" s="122"/>
      <c r="D4" s="46"/>
    </row>
    <row r="5" spans="2:4" ht="28.2">
      <c r="B5" s="122" t="s">
        <v>195</v>
      </c>
      <c r="C5" s="122"/>
      <c r="D5" s="46"/>
    </row>
    <row r="6" spans="2:4" ht="28.2">
      <c r="B6" s="122" t="s">
        <v>55</v>
      </c>
      <c r="C6" s="122"/>
      <c r="D6" s="46"/>
    </row>
    <row r="7" spans="2:4" ht="28.8" customHeight="1" thickBot="1">
      <c r="B7" s="128" t="s">
        <v>52</v>
      </c>
      <c r="C7" s="128"/>
      <c r="D7" s="49"/>
    </row>
    <row r="8" spans="2:4" ht="28.8" thickTop="1">
      <c r="C8" s="47" t="s">
        <v>7</v>
      </c>
      <c r="D8" s="47"/>
    </row>
    <row r="9" spans="2:4" ht="28.2">
      <c r="C9" s="123" t="s">
        <v>196</v>
      </c>
      <c r="D9" s="123"/>
    </row>
    <row r="10" spans="2:4" ht="28.2">
      <c r="C10" s="123" t="s">
        <v>103</v>
      </c>
      <c r="D10" s="123"/>
    </row>
    <row r="11" spans="2:4" ht="25.8" customHeight="1" thickBot="1">
      <c r="C11" s="52"/>
      <c r="D11" s="52"/>
    </row>
    <row r="12" spans="2:4" s="47" customFormat="1" ht="28.2">
      <c r="B12" s="129" t="s">
        <v>122</v>
      </c>
      <c r="C12" s="130"/>
      <c r="D12" s="131"/>
    </row>
    <row r="13" spans="2:4" s="47" customFormat="1" ht="28.8" thickBot="1">
      <c r="B13" s="132" t="s">
        <v>53</v>
      </c>
      <c r="C13" s="133"/>
      <c r="D13" s="134"/>
    </row>
    <row r="14" spans="2:4" s="47" customFormat="1" ht="28.8" customHeight="1" thickBot="1">
      <c r="B14" s="135" t="s">
        <v>197</v>
      </c>
      <c r="C14" s="136"/>
      <c r="D14" s="50" t="s">
        <v>198</v>
      </c>
    </row>
    <row r="15" spans="2:4" s="47" customFormat="1" ht="28.8" thickBot="1">
      <c r="B15" s="132" t="s">
        <v>176</v>
      </c>
      <c r="C15" s="133"/>
      <c r="D15" s="134"/>
    </row>
    <row r="16" spans="2:4" s="47" customFormat="1" ht="28.2">
      <c r="B16" s="117" t="s">
        <v>181</v>
      </c>
      <c r="C16" s="118"/>
      <c r="D16" s="119"/>
    </row>
    <row r="17" spans="2:5" s="47" customFormat="1" ht="88.8" customHeight="1">
      <c r="B17" s="116" t="s">
        <v>199</v>
      </c>
      <c r="C17" s="122"/>
      <c r="D17" s="137"/>
      <c r="E17" s="46"/>
    </row>
    <row r="18" spans="2:5" s="47" customFormat="1" ht="409.2" customHeight="1">
      <c r="B18" s="116" t="s">
        <v>200</v>
      </c>
      <c r="C18" s="122"/>
      <c r="D18" s="137"/>
      <c r="E18" s="46"/>
    </row>
    <row r="19" spans="2:5" s="47" customFormat="1" ht="43.8" customHeight="1">
      <c r="B19" s="116"/>
      <c r="C19" s="122"/>
      <c r="D19" s="137"/>
    </row>
    <row r="20" spans="2:5" s="47" customFormat="1" ht="28.2">
      <c r="B20" s="113" t="s">
        <v>201</v>
      </c>
      <c r="C20" s="114"/>
      <c r="D20" s="115"/>
    </row>
    <row r="21" spans="2:5" s="47" customFormat="1" ht="28.2">
      <c r="B21" s="113" t="s">
        <v>202</v>
      </c>
      <c r="C21" s="114"/>
      <c r="D21" s="115"/>
    </row>
    <row r="22" spans="2:5" s="47" customFormat="1" ht="28.2">
      <c r="B22" s="113" t="s">
        <v>203</v>
      </c>
      <c r="C22" s="114"/>
      <c r="D22" s="115"/>
    </row>
    <row r="23" spans="2:5" s="47" customFormat="1" ht="28.2">
      <c r="B23" s="113" t="s">
        <v>182</v>
      </c>
      <c r="C23" s="114"/>
      <c r="D23" s="115"/>
    </row>
    <row r="24" spans="2:5" s="47" customFormat="1" ht="28.2">
      <c r="B24" s="113" t="s">
        <v>183</v>
      </c>
      <c r="C24" s="114"/>
      <c r="D24" s="115"/>
    </row>
    <row r="25" spans="2:5" s="47" customFormat="1" ht="28.2">
      <c r="B25" s="113" t="s">
        <v>184</v>
      </c>
      <c r="C25" s="114"/>
      <c r="D25" s="115"/>
    </row>
    <row r="26" spans="2:5" s="47" customFormat="1" ht="28.2" customHeight="1">
      <c r="B26" s="116" t="s">
        <v>204</v>
      </c>
      <c r="C26" s="114"/>
      <c r="D26" s="115"/>
    </row>
    <row r="27" spans="2:5" s="47" customFormat="1" ht="28.2">
      <c r="B27" s="113" t="s">
        <v>185</v>
      </c>
      <c r="C27" s="114"/>
      <c r="D27" s="115"/>
    </row>
    <row r="28" spans="2:5" s="47" customFormat="1" ht="28.2">
      <c r="B28" s="113" t="s">
        <v>186</v>
      </c>
      <c r="C28" s="114"/>
      <c r="D28" s="115"/>
    </row>
    <row r="29" spans="2:5" s="47" customFormat="1" ht="28.2">
      <c r="B29" s="113" t="s">
        <v>187</v>
      </c>
      <c r="C29" s="114"/>
      <c r="D29" s="115"/>
    </row>
    <row r="30" spans="2:5" s="47" customFormat="1" ht="28.2">
      <c r="B30" s="113" t="s">
        <v>188</v>
      </c>
      <c r="C30" s="114"/>
      <c r="D30" s="115"/>
    </row>
    <row r="31" spans="2:5" s="47" customFormat="1" ht="28.2">
      <c r="B31" s="113" t="s">
        <v>205</v>
      </c>
      <c r="C31" s="114"/>
      <c r="D31" s="115"/>
    </row>
    <row r="32" spans="2:5" s="47" customFormat="1" ht="28.2">
      <c r="B32" s="113" t="s">
        <v>189</v>
      </c>
      <c r="C32" s="114"/>
      <c r="D32" s="115"/>
    </row>
    <row r="33" spans="2:4" s="47" customFormat="1" ht="28.8" thickBot="1">
      <c r="B33" s="124" t="s">
        <v>104</v>
      </c>
      <c r="C33" s="125"/>
      <c r="D33" s="126"/>
    </row>
    <row r="34" spans="2:4" s="47" customFormat="1" ht="28.2">
      <c r="B34" s="127" t="s">
        <v>15</v>
      </c>
      <c r="C34" s="127"/>
      <c r="D34" s="47" t="s">
        <v>16</v>
      </c>
    </row>
    <row r="35" spans="2:4" ht="2.5499999999999998" customHeight="1">
      <c r="C35" s="51"/>
      <c r="D35" s="51"/>
    </row>
  </sheetData>
  <mergeCells count="30">
    <mergeCell ref="B33:D33"/>
    <mergeCell ref="B34:C34"/>
    <mergeCell ref="B7:C7"/>
    <mergeCell ref="B5:C5"/>
    <mergeCell ref="B6:C6"/>
    <mergeCell ref="B12:D12"/>
    <mergeCell ref="B13:D13"/>
    <mergeCell ref="B14:C14"/>
    <mergeCell ref="B15:D15"/>
    <mergeCell ref="B18:D19"/>
    <mergeCell ref="B17:D17"/>
    <mergeCell ref="B27:D27"/>
    <mergeCell ref="B20:D20"/>
    <mergeCell ref="B21:D21"/>
    <mergeCell ref="B32:D32"/>
    <mergeCell ref="B22:D22"/>
    <mergeCell ref="B16:D16"/>
    <mergeCell ref="B2:D2"/>
    <mergeCell ref="B3:D3"/>
    <mergeCell ref="B4:C4"/>
    <mergeCell ref="C9:D9"/>
    <mergeCell ref="C10:D10"/>
    <mergeCell ref="B28:D28"/>
    <mergeCell ref="B29:D29"/>
    <mergeCell ref="B30:D30"/>
    <mergeCell ref="B31:D31"/>
    <mergeCell ref="B23:D23"/>
    <mergeCell ref="B24:D24"/>
    <mergeCell ref="B25:D25"/>
    <mergeCell ref="B26:D26"/>
  </mergeCells>
  <phoneticPr fontId="1" type="noConversion"/>
  <printOptions horizontalCentered="1"/>
  <pageMargins left="0" right="0" top="0" bottom="0" header="0.31496062992125984" footer="0.31496062992125984"/>
  <pageSetup paperSize="9" scale="53" fitToHeight="0" orientation="landscape" verticalDpi="0" r:id="rId1"/>
  <rowBreaks count="1" manualBreakCount="1">
    <brk id="10" max="4"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DEF73F-6B32-4F2D-AB99-C8EF8EC6817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3</vt:i4>
      </vt:variant>
    </vt:vector>
  </HeadingPairs>
  <TitlesOfParts>
    <vt:vector size="10" baseType="lpstr">
      <vt:lpstr>Variable</vt:lpstr>
      <vt:lpstr>Temporary</vt:lpstr>
      <vt:lpstr>Temporary2</vt:lpstr>
      <vt:lpstr>報告藍本</vt:lpstr>
      <vt:lpstr>調閱清單</vt:lpstr>
      <vt:lpstr>工作底稿</vt:lpstr>
      <vt:lpstr>查核稽核報告</vt:lpstr>
      <vt:lpstr>工作底稿!Print_Area</vt:lpstr>
      <vt:lpstr>查核稽核報告!Print_Area</vt:lpstr>
      <vt:lpstr>調閱清單!Print_Area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Aspose Pty Ltd</dc:creator>
  <cp:lastModifiedBy>jacob_wang</cp:lastModifiedBy>
  <cp:lastPrinted>2022-10-14T10:10:09Z</cp:lastPrinted>
  <dcterms:created xsi:type="dcterms:W3CDTF">2022-10-04T09:35:30Z</dcterms:created>
  <dcterms:modified xsi:type="dcterms:W3CDTF">2022-11-03T09:54:21Z</dcterms:modified>
</cp:coreProperties>
</file>