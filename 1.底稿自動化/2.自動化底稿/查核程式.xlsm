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https://pxpayplus2222-my.sharepoint.com/personal/jacob_wang_pxpayplus_com/Documents/Audit_RPA/1.底稿自動化/2.自動化底稿/"/>
    </mc:Choice>
  </mc:AlternateContent>
  <xr:revisionPtr revIDLastSave="2636" documentId="8_{5FBBAD68-AEBC-46F8-A253-6394286AD469}" xr6:coauthVersionLast="47" xr6:coauthVersionMax="47" xr10:uidLastSave="{8F7663DC-2269-435C-80AA-7C33684176BA}"/>
  <bookViews>
    <workbookView xWindow="-28920" yWindow="30" windowWidth="29040" windowHeight="15720" xr2:uid="{AE29E6AB-775D-4D76-B683-77742E591E53}"/>
  </bookViews>
  <sheets>
    <sheet name="Variable" sheetId="3" r:id="rId1"/>
    <sheet name="Temporary" sheetId="8" state="hidden" r:id="rId2"/>
    <sheet name="Temporary2" sheetId="9" state="hidden" r:id="rId3"/>
    <sheet name="報告藍本" sheetId="13" r:id="rId4"/>
    <sheet name="調閱清單" sheetId="4" r:id="rId5"/>
    <sheet name="工作底稿" sheetId="1" r:id="rId6"/>
    <sheet name="查核稽核報告" sheetId="2" r:id="rId7"/>
  </sheets>
  <definedNames>
    <definedName name="_Hlk109226883" localSheetId="5">工作底稿!#REF!</definedName>
    <definedName name="_Hlk48225127" localSheetId="6">查核稽核報告!#REF!</definedName>
    <definedName name="_Hlk54021806" localSheetId="4">調閱清單!#REF!</definedName>
    <definedName name="_xlnm.Print_Area" localSheetId="5">工作底稿!$A$1:$G$14</definedName>
    <definedName name="_xlnm.Print_Area" localSheetId="6">查核稽核報告!$E$1:$E$35</definedName>
    <definedName name="_xlnm.Print_Area" localSheetId="4">調閱清單!$A$1:$C$7</definedName>
    <definedName name="外部資料_1" localSheetId="1" hidden="1">Temporary!$F$4:$I$12</definedName>
    <definedName name="外部資料_1" localSheetId="0" hidden="1">Variable!#REF!</definedName>
    <definedName name="外部資料_2" localSheetId="1" hidden="1">Temporary!$K$4:$K$6</definedName>
  </definedNames>
  <calcPr calcId="191028"/>
  <pivotCaches>
    <pivotCache cacheId="0"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作業清單_da66ae9e-522f-4e4d-824d-27041d495a34" name="作業清單" connection="查詢 - 作業清單"/>
          <x15:modelTable id="查核作業_908315a5-eb04-4213-9c90-27884401b272" name="查核作業" connection="查詢 - 查核作業"/>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13" l="1"/>
  <c r="D5" i="13"/>
  <c r="D6" i="13"/>
  <c r="D7" i="13"/>
  <c r="D8" i="13"/>
  <c r="D9" i="13"/>
  <c r="D10" i="13"/>
  <c r="D11" i="13"/>
  <c r="D12" i="13"/>
  <c r="D3" i="13"/>
  <c r="C3" i="13"/>
  <c r="C4" i="13"/>
  <c r="C5" i="13"/>
  <c r="C6" i="13"/>
  <c r="C7" i="13"/>
  <c r="C8" i="13"/>
  <c r="C9" i="13"/>
  <c r="C10" i="13"/>
  <c r="C11" i="13"/>
  <c r="C12" i="13"/>
  <c r="G3" i="13"/>
  <c r="B134" i="3" l="1"/>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D9" i="3"/>
  <c r="D6" i="3"/>
  <c r="P3" i="13"/>
  <c r="P4" i="13"/>
  <c r="P5" i="13"/>
  <c r="P6" i="13"/>
  <c r="P7" i="13"/>
  <c r="P8" i="13"/>
  <c r="P9" i="13"/>
  <c r="P10" i="13"/>
  <c r="P11" i="13"/>
  <c r="P12" i="13"/>
  <c r="P13" i="13"/>
  <c r="P14" i="13"/>
  <c r="P15" i="13"/>
  <c r="P16" i="13"/>
  <c r="P17" i="13"/>
  <c r="P2" i="13"/>
  <c r="D13" i="8"/>
  <c r="D10" i="8"/>
  <c r="D8" i="8"/>
  <c r="D6" i="8"/>
  <c r="D7" i="3"/>
  <c r="D17" i="8" l="1"/>
  <c r="D32"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tc={A6A5DA66-EF20-45E9-89C9-44FA0180F6F4}</author>
    <author>jacob</author>
  </authors>
  <commentList>
    <comment ref="A2" authorId="0" shapeId="0" xr:uid="{A6A5DA66-EF20-45E9-89C9-44FA0180F6F4}">
      <text>
        <t>[對話串註解]
您的 Excel 版本可讓您讀取此對話串註解; 但若以較新的 Excel 版本開啟此檔案，將會移除對它進行的所有編輯。深入了解: https://go.microsoft.com/fwlink/?linkid=870924。
註解:
    IF(LEN(Variable!B14&amp;Variable!C14)&gt;4,Variable!B14&amp;Variable!C14,"")</t>
      </text>
    </comment>
    <comment ref="G3" authorId="1" shapeId="0" xr:uid="{920B1C1C-88AE-4C67-A04E-3E1CDB08F94A}">
      <text>
        <r>
          <rPr>
            <b/>
            <sz val="9"/>
            <color indexed="81"/>
            <rFont val="Tahoma"/>
            <family val="2"/>
          </rPr>
          <t>jacob:</t>
        </r>
        <r>
          <rPr>
            <sz val="9"/>
            <color indexed="81"/>
            <rFont val="Tahoma"/>
            <family val="2"/>
          </rPr>
          <t xml:space="preserve">
</t>
        </r>
        <r>
          <rPr>
            <sz val="9"/>
            <color indexed="81"/>
            <rFont val="細明體"/>
            <family val="3"/>
            <charset val="136"/>
          </rPr>
          <t>用樞紐來呈現，再用</t>
        </r>
        <r>
          <rPr>
            <sz val="9"/>
            <color indexed="81"/>
            <rFont val="Tahoma"/>
            <family val="2"/>
          </rPr>
          <t>if else</t>
        </r>
        <r>
          <rPr>
            <sz val="9"/>
            <color indexed="81"/>
            <rFont val="細明體"/>
            <family val="3"/>
            <charset val="136"/>
          </rPr>
          <t xml:space="preserve">抓去報告貼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EEA36-6399-4177-AE10-FB05361D32C3}" keepAlive="1" name="ModelConnection_外部資料_2" description="資料模型" type="5" refreshedVersion="8" minRefreshableVersion="5" saveData="1">
    <dbPr connection="Data Model Connection" command="作業清單" commandType="3"/>
    <extLst>
      <ext xmlns:x15="http://schemas.microsoft.com/office/spreadsheetml/2010/11/main" uri="{DE250136-89BD-433C-8126-D09CA5730AF9}">
        <x15:connection id="" model="1"/>
      </ext>
    </extLst>
  </connection>
  <connection id="2" xr16:uid="{D37B8373-0E39-40C1-9E92-66980D88B963}" keepAlive="1" name="ThisWorkbookDataModel" description="資料模型"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0A075652-9E97-4E50-A228-A3374563E119}" keepAlive="1" name="查詢 - 引用法規" description="與活頁簿中 '引用法規' 查詢的連接。" type="5" refreshedVersion="8" background="1" saveData="1">
    <dbPr connection="Provider=Microsoft.Mashup.OleDb.1;Data Source=$Workbook$;Location=引用法規;Extended Properties=&quot;&quot;" command="SELECT * FROM [引用法規]"/>
  </connection>
  <connection id="4" xr16:uid="{F5359851-DD3B-4BAB-860D-BBD18AECA9EA}" name="查詢 - 作業清單" description="與活頁簿中 '作業清單' 查詢的連接。" type="100" refreshedVersion="8" minRefreshableVersion="5">
    <extLst>
      <ext xmlns:x15="http://schemas.microsoft.com/office/spreadsheetml/2010/11/main" uri="{DE250136-89BD-433C-8126-D09CA5730AF9}">
        <x15:connection id="e5d23219-61f1-4ec6-b3c2-17833508e399"/>
      </ext>
    </extLst>
  </connection>
  <connection id="5" xr16:uid="{EF58C74D-7C24-46A5-8040-C45BCD342B2A}" name="查詢 - 查核作業" description="與活頁簿中 '查核作業' 查詢的連接。" type="100" refreshedVersion="8" minRefreshableVersion="5" refreshOnLoad="1" saveData="1">
    <extLst>
      <ext xmlns:x15="http://schemas.microsoft.com/office/spreadsheetml/2010/11/main" uri="{DE250136-89BD-433C-8126-D09CA5730AF9}">
        <x15:connection id="27a75054-c41b-4401-beaf-ccaeb71c5111"/>
      </ext>
    </extLst>
  </connection>
</connections>
</file>

<file path=xl/sharedStrings.xml><?xml version="1.0" encoding="utf-8"?>
<sst xmlns="http://schemas.openxmlformats.org/spreadsheetml/2006/main" count="402" uniqueCount="221">
  <si>
    <t>底稿索引</t>
  </si>
  <si>
    <t>是</t>
  </si>
  <si>
    <t>否</t>
  </si>
  <si>
    <t>查核項目</t>
  </si>
  <si>
    <t>檢查、評估情形</t>
  </si>
  <si>
    <t>不適用</t>
  </si>
  <si>
    <t>實際執行事項說明</t>
    <phoneticPr fontId="1" type="noConversion"/>
  </si>
  <si>
    <t xml:space="preserve">  </t>
  </si>
  <si>
    <t xml:space="preserve">查核目的：■年度稽核計畫    ■一般查核    □專案查核  </t>
  </si>
  <si>
    <t>查核人員</t>
    <phoneticPr fontId="1" type="noConversion"/>
  </si>
  <si>
    <t>查核基準日</t>
    <phoneticPr fontId="1" type="noConversion"/>
  </si>
  <si>
    <t>當日</t>
    <phoneticPr fontId="1" type="noConversion"/>
  </si>
  <si>
    <t>裴古瑞</t>
    <phoneticPr fontId="1" type="noConversion"/>
  </si>
  <si>
    <t>王建智</t>
  </si>
  <si>
    <t>受查單位</t>
    <phoneticPr fontId="1" type="noConversion"/>
  </si>
  <si>
    <t xml:space="preserve">稽核主管： </t>
    <phoneticPr fontId="1" type="noConversion"/>
  </si>
  <si>
    <t>稽核人員：</t>
    <phoneticPr fontId="1" type="noConversion"/>
  </si>
  <si>
    <t>查核範圍期間</t>
    <phoneticPr fontId="1" type="noConversion"/>
  </si>
  <si>
    <t>調閱清單</t>
    <phoneticPr fontId="8" type="noConversion"/>
  </si>
  <si>
    <r>
      <t>請準備以下查核之資料，</t>
    </r>
    <r>
      <rPr>
        <b/>
        <sz val="14"/>
        <color rgb="FFFF0000"/>
        <rFont val="標楷體"/>
        <family val="4"/>
        <charset val="136"/>
      </rPr>
      <t>於9月22日前陸續提供所需資料或說明文字檔</t>
    </r>
    <r>
      <rPr>
        <sz val="14"/>
        <color theme="1"/>
        <rFont val="標楷體"/>
        <family val="4"/>
        <charset val="136"/>
      </rPr>
      <t>，如於受查期間未發生該作業程序請於說明欄位(實際執行事項說明)處填寫"未發生"；或該作業程序目前未有現行實務做法，可先就該項目陳述未來規劃作業之方式，並請儘量以電子檔提供相關資料作為附件，謝謝。</t>
    </r>
    <phoneticPr fontId="8" type="noConversion"/>
  </si>
  <si>
    <t>查核作業</t>
    <phoneticPr fontId="1" type="noConversion"/>
  </si>
  <si>
    <t>查核項目</t>
    <phoneticPr fontId="1" type="noConversion"/>
  </si>
  <si>
    <t>有關資訊作業委外相關事項是否依據本公司「第三方服務資訊安全管理辦法」之要求據以執行。</t>
  </si>
  <si>
    <t>查核作業</t>
  </si>
  <si>
    <t>說明：</t>
    <phoneticPr fontId="1" type="noConversion"/>
  </si>
  <si>
    <t>作業清單</t>
  </si>
  <si>
    <t>，並依據金融監督管理委員會</t>
  </si>
  <si>
    <t>內部控制制度</t>
  </si>
  <si>
    <t>內部控制制度</t>
    <phoneticPr fontId="1" type="noConversion"/>
  </si>
  <si>
    <t>外部法規</t>
  </si>
  <si>
    <t>外部法規</t>
    <phoneticPr fontId="1" type="noConversion"/>
  </si>
  <si>
    <t>金融機構提供行動裝置應用程式作業規範</t>
  </si>
  <si>
    <t>金融機構運用新興科技作業規範</t>
  </si>
  <si>
    <t>電子支付機構資訊系統標準及安全控管作業基準</t>
    <phoneticPr fontId="1" type="noConversion"/>
  </si>
  <si>
    <t>等主管機關之主要規範以及本公司</t>
  </si>
  <si>
    <t>、基本作業循環內部控制制度之</t>
  </si>
  <si>
    <t xml:space="preserve"> 等主要規範進行查核，相關查核作業項目及重點說明如下:</t>
  </si>
  <si>
    <t>Step1.確認相關基本資料是否正確</t>
    <phoneticPr fontId="1" type="noConversion"/>
  </si>
  <si>
    <t>說明：此處需填上必須文字，會直接連動報表的查核人員、日期、單位。</t>
  </si>
  <si>
    <r>
      <t>Step2.</t>
    </r>
    <r>
      <rPr>
        <b/>
        <sz val="14"/>
        <rFont val="細明體"/>
        <family val="3"/>
        <charset val="136"/>
      </rPr>
      <t>開始撰寫查核作業、查核項目及實際執行事項說明</t>
    </r>
    <phoneticPr fontId="1" type="noConversion"/>
  </si>
  <si>
    <t>查核循環</t>
  </si>
  <si>
    <t>查核循環</t>
    <phoneticPr fontId="1" type="noConversion"/>
  </si>
  <si>
    <t>年度稽核計畫中技術部之一般查核，查核項目：</t>
    <phoneticPr fontId="1" type="noConversion"/>
  </si>
  <si>
    <t>整理前查核循環</t>
  </si>
  <si>
    <t>產出結果：</t>
    <phoneticPr fontId="1" type="noConversion"/>
  </si>
  <si>
    <t>文字串接：</t>
    <phoneticPr fontId="1" type="noConversion"/>
  </si>
  <si>
    <t>查核人員：裴古瑞、王建智</t>
    <phoneticPr fontId="1" type="noConversion"/>
  </si>
  <si>
    <t>查核範圍期間：111年1月1日~111年08月31日</t>
    <phoneticPr fontId="1" type="noConversion"/>
  </si>
  <si>
    <t>審查人員：裴古瑞</t>
    <phoneticPr fontId="1" type="noConversion"/>
  </si>
  <si>
    <t xml:space="preserve">查核目的：■年度稽核計畫    □一般查核    ■專案查核  </t>
    <phoneticPr fontId="1" type="noConversion"/>
  </si>
  <si>
    <t>一般查核為True
專案查核為False</t>
    <phoneticPr fontId="1" type="noConversion"/>
  </si>
  <si>
    <t>全 支 付 電 子 支 付</t>
    <phoneticPr fontId="1" type="noConversion"/>
  </si>
  <si>
    <t>專 案 查 核 報 告</t>
    <phoneticPr fontId="1" type="noConversion"/>
  </si>
  <si>
    <t xml:space="preserve">    本次查核為辦理本公司</t>
    <phoneticPr fontId="1" type="noConversion"/>
  </si>
  <si>
    <t>一</t>
  </si>
  <si>
    <t>二</t>
  </si>
  <si>
    <t>三</t>
  </si>
  <si>
    <t>四</t>
  </si>
  <si>
    <t>五</t>
  </si>
  <si>
    <t>六</t>
  </si>
  <si>
    <t>七</t>
  </si>
  <si>
    <t>八</t>
  </si>
  <si>
    <t>九</t>
  </si>
  <si>
    <t>十</t>
  </si>
  <si>
    <t>十一</t>
  </si>
  <si>
    <t>(</t>
  </si>
  <si>
    <t>)</t>
  </si>
  <si>
    <t>項次</t>
  </si>
  <si>
    <t>稽核報告內容</t>
    <phoneticPr fontId="1" type="noConversion"/>
  </si>
  <si>
    <t>查核報告敘述</t>
    <phoneticPr fontId="1" type="noConversion"/>
  </si>
  <si>
    <t>符號</t>
  </si>
  <si>
    <t>符號2</t>
  </si>
  <si>
    <t>符號3</t>
  </si>
  <si>
    <t>符號4</t>
  </si>
  <si>
    <t>項次2</t>
  </si>
  <si>
    <t>、</t>
  </si>
  <si>
    <t>.</t>
  </si>
  <si>
    <t>十二</t>
  </si>
  <si>
    <t>十三</t>
  </si>
  <si>
    <t>十四</t>
  </si>
  <si>
    <t>十五</t>
  </si>
  <si>
    <t>十六</t>
  </si>
  <si>
    <t>十七</t>
  </si>
  <si>
    <t>十八</t>
  </si>
  <si>
    <t>十九</t>
  </si>
  <si>
    <t>二十</t>
  </si>
  <si>
    <t>組合項次</t>
    <phoneticPr fontId="1" type="noConversion"/>
  </si>
  <si>
    <t>查核內容</t>
    <phoneticPr fontId="1" type="noConversion"/>
  </si>
  <si>
    <t>報告內容</t>
    <phoneticPr fontId="1" type="noConversion"/>
  </si>
  <si>
    <t>順序</t>
    <phoneticPr fontId="1" type="noConversion"/>
  </si>
  <si>
    <t>條列式內容</t>
    <phoneticPr fontId="1" type="noConversion"/>
  </si>
  <si>
    <t>欲輸出畫面</t>
  </si>
  <si>
    <t>依左側查核內容撰寫稽核報告</t>
    <phoneticPr fontId="1" type="noConversion"/>
  </si>
  <si>
    <t>空白</t>
    <phoneticPr fontId="1" type="noConversion"/>
  </si>
  <si>
    <t xml:space="preserve">    </t>
    <phoneticPr fontId="1" type="noConversion"/>
  </si>
  <si>
    <t xml:space="preserve">                             全支付電子支付  稽核室</t>
  </si>
  <si>
    <t xml:space="preserve">董事長（簽章/日期）: </t>
  </si>
  <si>
    <t>與通路商對帳之資訊是否與實際入帳金額一致。</t>
  </si>
  <si>
    <t>通路商提供之相關憑證內容是否與合約內容相符。</t>
  </si>
  <si>
    <t>給付通路商之金額成本認列是否符合相關法規要求。</t>
  </si>
  <si>
    <t>業務部是否提供客戶付款明細供財務部作為沖帳收款之依據。</t>
  </si>
  <si>
    <t>若有應收帳款因退貨或折讓，是否由業務部開立「應收帳款異動通知申請單」及「客戶退貨申請單」後交由財務部進行帳務處理。</t>
  </si>
  <si>
    <t>本公司收付訊息處理作業委外之管理，是否符合相關規範辦理。</t>
  </si>
  <si>
    <t>本公司代收以新臺幣繳納儲值款項作業委外之管理，是否符合相關規範辦理。</t>
  </si>
  <si>
    <t>受查單位：業務部</t>
    <phoneticPr fontId="1" type="noConversion"/>
  </si>
  <si>
    <t xml:space="preserve">查核目的：■年度稽核計畫    ■一般查核    □專案查核  </t>
    <phoneticPr fontId="1" type="noConversion"/>
  </si>
  <si>
    <t>查核期間</t>
    <phoneticPr fontId="1" type="noConversion"/>
  </si>
  <si>
    <t>營收及收款循環</t>
  </si>
  <si>
    <t>營收及收款循環</t>
    <phoneticPr fontId="1" type="noConversion"/>
  </si>
  <si>
    <t>消費者權益保障措施及消費糾紛處理程序</t>
  </si>
  <si>
    <t>交易結算及清算機制作業管理辦法</t>
  </si>
  <si>
    <t>資訊資產暨風險評鑑作業管理辦法</t>
  </si>
  <si>
    <t>電子資料交換管理辦法</t>
  </si>
  <si>
    <t>第三方服務資訊安全管理辦法</t>
  </si>
  <si>
    <t>個人資料保護管理辦法</t>
  </si>
  <si>
    <t>代理收付實質交易款項業務之管理及作業程序</t>
  </si>
  <si>
    <t>收受儲值款項業務之管理及作業程序</t>
  </si>
  <si>
    <t>通路商付款及入帳作業</t>
  </si>
  <si>
    <t>通路商付款及入帳作業</t>
    <phoneticPr fontId="1" type="noConversion"/>
  </si>
  <si>
    <t>委外管理作業管理</t>
  </si>
  <si>
    <t>委外管理作業管理</t>
    <phoneticPr fontId="1" type="noConversion"/>
  </si>
  <si>
    <t>業務部是否針對該代收以新臺幣繳納儲值款項作業業務至少每半年對受託機構辦理相關檢核作業。</t>
  </si>
  <si>
    <t>業務部是否針對該代收以新臺幣繳納儲值款項作業業務至少每半年對受託機構辦理相關檢核作業。</t>
    <phoneticPr fontId="1" type="noConversion"/>
  </si>
  <si>
    <t>業務部是否針對該收付訊息處理作業委外業務至少每半年對受託機構辦理相關檢核作業。</t>
  </si>
  <si>
    <t>業務部是否針對該收付訊息處理作業委外業務至少每半年對受託機構辦理相關檢核作業。</t>
    <phoneticPr fontId="1" type="noConversion"/>
  </si>
  <si>
    <t>說明：此處將直接帶入調閱清單及工作底稿。
注意：查核項目不能相同，因為此自動化包含樞紐，相同的項目會被刪掉。</t>
    <phoneticPr fontId="1" type="noConversion"/>
  </si>
  <si>
    <t>二、  財務狀況：</t>
  </si>
  <si>
    <t>不適用。</t>
  </si>
  <si>
    <t>三、  經營績效：</t>
  </si>
  <si>
    <t>四、  資產品質：</t>
  </si>
  <si>
    <t>五、  董事會議事運作之管理：</t>
  </si>
  <si>
    <t>六、  法令遵循：</t>
  </si>
  <si>
    <t>尚符合規定。</t>
  </si>
  <si>
    <t>七、  內部控制：</t>
  </si>
  <si>
    <t>八、  各項業務作業控制與內部管理：</t>
  </si>
  <si>
    <t>除下列發現事項外，其餘尚符合相關規定。</t>
  </si>
  <si>
    <t>九、  使用者及特約機構資料保密管理：</t>
  </si>
  <si>
    <t>十、  資訊管理：</t>
  </si>
  <si>
    <t>十一、 員工保密教育：</t>
  </si>
  <si>
    <t>十二、 金融消費者權益保護措施：</t>
  </si>
  <si>
    <t>十三、 自行查核辦理情形：</t>
  </si>
  <si>
    <t>辦理自行查核作業尚符合規定。</t>
  </si>
  <si>
    <t>十四、 其他說明事項：</t>
  </si>
  <si>
    <t>無。</t>
  </si>
  <si>
    <t>查核評估事項</t>
    <phoneticPr fontId="1" type="noConversion"/>
  </si>
  <si>
    <t>查核評估事項</t>
    <phoneticPr fontId="1" type="noConversion"/>
  </si>
  <si>
    <t>十二、金融消費者權益保護措施：</t>
    <phoneticPr fontId="1" type="noConversion"/>
  </si>
  <si>
    <t>十三、自行查核辦理情形：</t>
    <phoneticPr fontId="1" type="noConversion"/>
  </si>
  <si>
    <t>十四、其他說明事項：</t>
    <phoneticPr fontId="1" type="noConversion"/>
  </si>
  <si>
    <t>一、綜合評述/本次查核情形之重點說明：</t>
    <phoneticPr fontId="1" type="noConversion"/>
  </si>
  <si>
    <t>查核所需資料</t>
    <phoneticPr fontId="1" type="noConversion"/>
  </si>
  <si>
    <t>一 般 查 核 稽 核 報 告</t>
    <phoneticPr fontId="1" type="noConversion"/>
  </si>
  <si>
    <r>
      <t>查核基準日：111</t>
    </r>
    <r>
      <rPr>
        <sz val="11"/>
        <color theme="1"/>
        <rFont val="新細明體"/>
        <family val="1"/>
        <charset val="136"/>
        <scheme val="major"/>
      </rPr>
      <t>年09月31日</t>
    </r>
    <phoneticPr fontId="1" type="noConversion"/>
  </si>
  <si>
    <t>查核範圍期間：111年01月01日~111年09月31日</t>
    <phoneticPr fontId="1" type="noConversion"/>
  </si>
  <si>
    <t>查核基準日：111年09月31日</t>
    <phoneticPr fontId="1" type="noConversion"/>
  </si>
  <si>
    <t>查核期間：111年  月  日~111年  月  日</t>
    <phoneticPr fontId="1" type="noConversion"/>
  </si>
  <si>
    <t>Step3.開始撰寫報告時，在這裡確認引用了那些法規。</t>
    <phoneticPr fontId="1" type="noConversion"/>
  </si>
  <si>
    <r>
      <t>與</t>
    </r>
    <r>
      <rPr>
        <sz val="11"/>
        <color rgb="FFFF0000"/>
        <rFont val="微軟正黑體"/>
        <family val="2"/>
        <charset val="136"/>
      </rPr>
      <t>通路商對帳</t>
    </r>
    <r>
      <rPr>
        <sz val="11"/>
        <rFont val="微軟正黑體"/>
        <family val="2"/>
        <charset val="136"/>
      </rPr>
      <t>之資訊是否與實際入帳金額一致。</t>
    </r>
    <phoneticPr fontId="1" type="noConversion"/>
  </si>
  <si>
    <r>
      <rPr>
        <sz val="11"/>
        <rFont val="微軟正黑體"/>
        <family val="2"/>
        <charset val="136"/>
      </rPr>
      <t>給付通路商之金額</t>
    </r>
    <r>
      <rPr>
        <sz val="11"/>
        <color rgb="FFFF0000"/>
        <rFont val="微軟正黑體"/>
        <family val="2"/>
        <charset val="136"/>
      </rPr>
      <t>成本認列</t>
    </r>
    <r>
      <rPr>
        <sz val="11"/>
        <rFont val="微軟正黑體"/>
        <family val="2"/>
        <charset val="136"/>
      </rPr>
      <t>是否符合相關法規要求。</t>
    </r>
    <phoneticPr fontId="1" type="noConversion"/>
  </si>
  <si>
    <t>ETL</t>
    <phoneticPr fontId="1" type="noConversion"/>
  </si>
  <si>
    <t>」</t>
    <phoneticPr fontId="1" type="noConversion"/>
  </si>
  <si>
    <t>new</t>
    <phoneticPr fontId="1" type="noConversion"/>
  </si>
  <si>
    <t>old</t>
    <phoneticPr fontId="1" type="noConversion"/>
  </si>
  <si>
    <t>「</t>
    <phoneticPr fontId="1" type="noConversion"/>
  </si>
  <si>
    <t>row</t>
    <phoneticPr fontId="1" type="noConversion"/>
  </si>
  <si>
    <t>columns</t>
    <phoneticPr fontId="1" type="noConversion"/>
  </si>
  <si>
    <t>經詢問並調閱5家商戶之傳票、發票、請款報表及合約，符合「會計制度」第六章第一條第一款「主要業務會計處理程序」、IFRS15號「公報客戶合約之收入」之認列、衡量及合約內訂定之手續費費率。</t>
  </si>
  <si>
    <t>經查核「電子支付業務交易訊息整合傳遞服務與合作機構契約書」，第三條第六項「甲方應整合及確保本服務正常運作，包含進行本服務（含軟、硬體）之安裝測試、維護、訓練等作業，並依前項安控標準確保交易資訊之隱密性、安全性、資料傳遞、交易或處理之正確性。」，並依「第三方服務資訊安全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而經訪談專案負責人，目前並未執行相關查核作業。</t>
  </si>
  <si>
    <t>經查核「電子支付業務交易訊息整合傳遞服務與合作機構契約書」，電子支付業務交易訊息整合傳遞服務委外由台新國際商業銀行承辦，由訪談得知，近期因原專案負責人離職，該專案尚未完整交接，目前無過去相關資料，且尚未規劃未來查核計畫。</t>
  </si>
  <si>
    <t>以新台幣現金繳納支付款項作業，經查核「代收金流儲值服務契約書」第六條第六項「甲方對乙方有進行定期審查之權利，定期執行實地查核，確認乙方及其人員無法藉由繳款資料取得或辨識使用者之身分證字號、帳號及其他相關個人資料，以避免使用者資料外洩，並評估其是否符合各項相關規定或由乙方提出定期稽核報告供甲方評估內控落實情形。」，另依「個人資料保護管理辦法」第五條第十二項第二款第一目「為釐清本公司與其委外廠商之責任歸屬，本公司將對委外廠商採取適當之監督，以確保委託處理個人資料之安全管理。」，具訪談，目前尚未執行相關查核作業。</t>
  </si>
  <si>
    <t>經查核「代收金流儲值服務契約書」，委外由全聯實業股份有限公司代為辦理由訪談得知，近期原專案負責人離職，該專案尚未完整交接，目前無過去相關資料，且尚未規劃未來查核計畫。</t>
  </si>
  <si>
    <t>依「第三方服務資訊安全管理辦法」第三條第三項第二款「應負責監督委外廠商對於相關資訊安全管控要求的落實與遵守，若委外廠商或其人員，違反或未遵守時，應向委外廠商提出警示。」，本次查核包含「電子支付業務交易訊息整合傳遞服務」及「代收金流儲值服務」未依前列之作業辦法執行。</t>
  </si>
  <si>
    <t>]</t>
    <phoneticPr fontId="1" type="noConversion"/>
  </si>
  <si>
    <t>[</t>
    <phoneticPr fontId="1" type="noConversion"/>
  </si>
  <si>
    <t>，</t>
    <phoneticPr fontId="1" type="noConversion"/>
  </si>
  <si>
    <t>,</t>
    <phoneticPr fontId="1" type="noConversion"/>
  </si>
  <si>
    <t>(</t>
    <phoneticPr fontId="1" type="noConversion"/>
  </si>
  <si>
    <t>（</t>
    <phoneticPr fontId="1" type="noConversion"/>
  </si>
  <si>
    <t>）</t>
    <phoneticPr fontId="1" type="noConversion"/>
  </si>
  <si>
    <t>)</t>
    <phoneticPr fontId="1" type="noConversion"/>
  </si>
  <si>
    <t>.</t>
    <phoneticPr fontId="1" type="noConversion"/>
  </si>
  <si>
    <t>、</t>
    <phoneticPr fontId="1" type="noConversion"/>
  </si>
  <si>
    <t>經訪談，一般消費退費將從該月結算手續費中扣除，若跨結算日，則由下個月知會費扣除。若發生特殊事項為業務部營運人員向產品部提出申請，由產品部於系統後台進行更改，再經由財務部主管審核。</t>
  </si>
  <si>
    <t>經訪談，系統每日進行比對作業，由財務人員核對其結果、銀行存款會計科目餘額及實際銀行存款餘額正確後，執行系統拋轉傳票。</t>
  </si>
  <si>
    <t>「消費者權益保障措施及消費糾紛處理程序」</t>
  </si>
  <si>
    <t>「電子支付機構資訊系統標準及安全控管作業基準」</t>
  </si>
  <si>
    <t>「營收及收款循環」</t>
  </si>
  <si>
    <t>「交易結算及清算機制作業管理辦法」</t>
  </si>
  <si>
    <t>「金融機構提供行動裝置應用程式作業規範」</t>
  </si>
  <si>
    <t>「資訊資產暨風險評鑑作業管理辦法」</t>
  </si>
  <si>
    <t>「金融機構運用新興科技作業規範」</t>
  </si>
  <si>
    <t>「電子資料交換管理辦法」</t>
  </si>
  <si>
    <t>「第三方服務資訊安全管理辦法」</t>
  </si>
  <si>
    <t>「個人資料保護管理辦法」</t>
  </si>
  <si>
    <t>「代理收付實質交易款項業務之管理及作業程序」</t>
  </si>
  <si>
    <t>「收受儲值款項業務之管理及作業程序」</t>
  </si>
  <si>
    <t xml:space="preserve">    本次查核為辦理本公司111年度稽核計畫中技術部之一般查核，查核項目：通路商付款及入帳作業、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營收及收款循環」 等主要規範進行查核，相關查核作業項目及重點說明如下:</t>
    <phoneticPr fontId="1" type="noConversion"/>
  </si>
  <si>
    <r>
      <t>通路商提供之相關</t>
    </r>
    <r>
      <rPr>
        <sz val="11"/>
        <color rgb="FFFF0000"/>
        <rFont val="微軟正黑體"/>
        <family val="2"/>
        <charset val="136"/>
      </rPr>
      <t>憑證內容</t>
    </r>
    <r>
      <rPr>
        <sz val="11"/>
        <rFont val="微軟正黑體"/>
        <family val="2"/>
        <charset val="136"/>
      </rPr>
      <t>是否與合約內容相符。</t>
    </r>
    <phoneticPr fontId="1" type="noConversion"/>
  </si>
  <si>
    <t>經調閱特約機構之合約，並向財務部調閱傳票、憑證及交易明細，對於交易金額及手續費進行驗算，交易均為正確。另外，此部分交易皆由系統自動計算費用、立帳及沖帳並開立發票。</t>
    <phoneticPr fontId="1" type="noConversion"/>
  </si>
  <si>
    <t>二、  財務狀況：不適用。</t>
  </si>
  <si>
    <t>三、  經營績效：不適用。</t>
  </si>
  <si>
    <t>四、  資產品質：不適用。</t>
  </si>
  <si>
    <t>五、  董事會議事運作之管理：不適用。</t>
  </si>
  <si>
    <t>六、  法令遵循：尚符合規定。</t>
  </si>
  <si>
    <t>七、  內部控制：尚符合規定。</t>
  </si>
  <si>
    <t>八、  各項業務作業控制與內部管理：除下列發現事項外，其餘尚符合相關規定。</t>
  </si>
  <si>
    <t>九、  使用者及特約機構資料保密管理：不適用。</t>
  </si>
  <si>
    <t>十、  資訊管理：除下列發現事項外，其餘尚符合相關規定。</t>
  </si>
  <si>
    <t>十一、 員工保密教育：尚符合規定。</t>
  </si>
  <si>
    <t>十二、 金融消費者權益保護措施：不適用。</t>
  </si>
  <si>
    <t>十三、 自行查核辦理情形：辦理自行查核作業尚符合規定。</t>
  </si>
  <si>
    <t>十四、 其他說明事項：無。</t>
  </si>
  <si>
    <t>依據「電子支付業務交易訊息整合傳遞服務與合作機構契約書」，第三條第六項「甲方應整合及確保本服務正常運作，包含進行本服務（含軟、硬體）之安裝測試、維護、訓練等作業，並依前項安控標準確保交易資訊之隱密性、安全性、資料傳遞、交易或處理之正確性。」，並依「第三方服務資訊安全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而經訪談專案負責人，目前並未執行相關查核作業。</t>
  </si>
  <si>
    <t>「電子支付業務交易訊息整合傳遞服務」委託台新國際商業銀行承辦，訪談得知，近期因原專案負責人離職，該專案尚未完整交接，目前無過去相關資料，且尚未規劃委外廠商查核計畫。</t>
  </si>
  <si>
    <t>依據「代收金流儲值服務契約書」第六條第六項「甲方對乙方有進行定期審查之權利，定期執行實地查核，確認乙方及其人員無法藉由繳款資料取得或辨識使用者之身分證字號、帳號及其他相關個人資料，以避免使用者資料外洩，並評估其是否符合各項相關規定或由乙方提出定期稽核報告供甲方評估內控落實情形。」，另依「個人資料保護管理辦法」第五條第十二項第二款第一目「為釐清本公司與其委外廠商之責任歸屬，本公司將對委外廠商採取適當之監督，以確保委託處理個人資料之安全管理。」，根據訪談，目前尚未執行相關查核作業。</t>
  </si>
  <si>
    <t>經查核「代收金流儲值服務契約書」，以新台幣現金繳納支付款項作業委外由全聯實業股份有限公司代為辦理由訪談得知，近期原專案負責人離職，該專案尚未完整交接，目前無過去相關資料，且尚未規劃委外廠商查核計畫。</t>
  </si>
  <si>
    <t>經調閱特約機構之合約，並向財務部調閱傳票、憑證及交易明細，對於交易金額及手續費進行驗算，交易均為正確。另外，此部分交易皆由系統自動計算費用、立帳及沖帳並開立發票。</t>
  </si>
  <si>
    <t>製表日：中華民國111年11月16日</t>
    <phoneticPr fontId="1" type="noConversion"/>
  </si>
  <si>
    <t>中華民國111年11月16日</t>
    <phoneticPr fontId="1" type="noConversion"/>
  </si>
  <si>
    <t>依據「代收金流儲值服務契約書」第六條第六項「甲方對乙方有進行定期審查之權利，定期執行實地查核，確認乙方及其人員無法藉由繳款資料取得或辨識使用者之身分證字號、帳號及其他相關個人資料，以避免使用者資料外洩，並評估其是否符合各項相關規定或由乙方提出定期稽核報告供甲方評估內控落實情形。」，另依「個人資料保護管理辦法」第五條第十二項第二款第一目「為釐清本公司與其委外廠商之責任歸屬，本公司將對委外廠商採取適當之監督，以確保委託處理個人資料之安全管理。」，根據訪談，目前尚未執行相關查核作業。
依據「電子支付業務交易訊息整合傳遞服務與合作機構契約書」，第三條第六項「甲方應整合及確保本服務正常運作，包含進行本服務（含軟、硬體）之安裝測試、維護、訓練等作業，並依前項安控標準確保交易資訊之隱密性、安全性、資料傳遞、交易或處理之正確性。」，並依「第三方服務資訊安全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而經訪談專案負責人，目前並未執行相關查核作業。
經查核「代收金流儲值服務契約書」，以新台幣現金繳納支付款項作業委外由全聯實業股份有限公司代為辦理由訪談得知，近期原專案負責人離職，該專案尚未完整交接，目前無過去相關資料，且尚未規劃委外廠商查核計畫。
「電子支付業務交易訊息整合傳遞服務」委託台新國際商業銀行承辦，訪談得知，近期因原專案負責人離職，該專案尚未完整交接，目前無過去相關資料，且尚未規劃委外廠商查核計畫。
依「第三方服務資訊安全管理辦法」第三條第三項第二款「應負責監督委外廠商對於相關資訊安全管控要求的落實與遵守，若委外廠商或其人員，違反或未遵守時，應向委外廠商提出警示。」，本次查核包含「電子支付業務交易訊息整合傳遞服務」及「代收金流儲值服務」未依前列之作業辦法執行。
經調閱特約機構之合約，並向財務部調閱傳票、憑證及交易明細，對於交易金額及手續費進行驗算，交易均為正確。另外，此部分交易皆由系統自動計算費用、立帳及沖帳並開立發票。
經詢問並調閱5家商戶之傳票、發票、請款報表及合約，符合「會計制度」第六章第一條第一款「主要業務會計處理程序」、IFRS15號「公報客戶合約之收入」之認列、衡量及合約內訂定之手續費費率。
經訪談，系統每日進行比對作業，由財務人員核對其結果、銀行存款會計科目餘額及實際銀行存款餘額正確後，執行系統拋轉傳票。</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</si>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</sst>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x14ac:knownFonts="1">
    <font>
      <sz val="11"/>
      <name val="Calibri"/>
      <family val="2"/>
    </font>
    <font>
      <sz val="9"/>
      <name val="細明體"/>
      <family val="3"/>
      <charset val="136"/>
    </font>
    <font>
      <sz val="12"/>
      <name val="標楷體"/>
      <family val="4"/>
      <charset val="136"/>
    </font>
    <font>
      <b/>
      <sz val="12"/>
      <color rgb="FF000000"/>
      <name val="標楷體"/>
      <family val="4"/>
      <charset val="136"/>
    </font>
    <font>
      <b/>
      <sz val="11"/>
      <color rgb="FF000000"/>
      <name val="標楷體"/>
      <family val="4"/>
      <charset val="136"/>
    </font>
    <font>
      <sz val="12"/>
      <color rgb="FF000000"/>
      <name val="標楷體"/>
      <family val="4"/>
      <charset val="136"/>
    </font>
    <font>
      <sz val="10"/>
      <color rgb="FF000000"/>
      <name val="標楷體"/>
      <family val="4"/>
      <charset val="136"/>
    </font>
    <font>
      <sz val="14"/>
      <color theme="1"/>
      <name val="標楷體"/>
      <family val="4"/>
      <charset val="136"/>
    </font>
    <font>
      <sz val="9"/>
      <name val="新細明體"/>
      <family val="3"/>
      <charset val="136"/>
      <scheme val="minor"/>
    </font>
    <font>
      <sz val="12"/>
      <name val="Calibri"/>
      <family val="2"/>
    </font>
    <font>
      <sz val="72"/>
      <name val="標楷體"/>
      <family val="4"/>
      <charset val="136"/>
    </font>
    <font>
      <sz val="11"/>
      <name val="標楷體"/>
      <family val="4"/>
      <charset val="136"/>
    </font>
    <font>
      <sz val="11"/>
      <name val="細明體"/>
      <family val="3"/>
      <charset val="136"/>
    </font>
    <font>
      <sz val="11"/>
      <name val="細明體"/>
      <family val="2"/>
      <charset val="136"/>
    </font>
    <font>
      <sz val="11"/>
      <color theme="1"/>
      <name val="新細明體"/>
      <family val="2"/>
      <scheme val="minor"/>
    </font>
    <font>
      <sz val="12"/>
      <color theme="1"/>
      <name val="標楷體"/>
      <family val="4"/>
      <charset val="136"/>
    </font>
    <font>
      <b/>
      <sz val="14"/>
      <color theme="1"/>
      <name val="標楷體"/>
      <family val="4"/>
      <charset val="136"/>
    </font>
    <font>
      <b/>
      <sz val="14"/>
      <color rgb="FFFF0000"/>
      <name val="標楷體"/>
      <family val="4"/>
      <charset val="136"/>
    </font>
    <font>
      <sz val="11"/>
      <color theme="1"/>
      <name val="標楷體"/>
      <family val="4"/>
      <charset val="136"/>
    </font>
    <font>
      <sz val="14"/>
      <color theme="1"/>
      <name val="新細明體"/>
      <family val="2"/>
      <scheme val="minor"/>
    </font>
    <font>
      <b/>
      <sz val="12"/>
      <name val="標楷體"/>
      <family val="4"/>
      <charset val="136"/>
    </font>
    <font>
      <sz val="9"/>
      <color indexed="81"/>
      <name val="Tahoma"/>
      <family val="2"/>
    </font>
    <font>
      <b/>
      <sz val="14"/>
      <name val="新細明體"/>
      <family val="1"/>
      <charset val="136"/>
    </font>
    <font>
      <sz val="11"/>
      <name val="新細明體"/>
      <family val="1"/>
      <charset val="136"/>
    </font>
    <font>
      <b/>
      <sz val="14"/>
      <name val="細明體"/>
      <family val="3"/>
      <charset val="136"/>
    </font>
    <font>
      <b/>
      <sz val="14"/>
      <name val="Calibri"/>
      <family val="2"/>
    </font>
    <font>
      <sz val="20"/>
      <name val="標楷體"/>
      <family val="4"/>
      <charset val="136"/>
    </font>
    <font>
      <sz val="11"/>
      <color rgb="FF000000"/>
      <name val="細明體"/>
      <family val="3"/>
      <charset val="136"/>
    </font>
    <font>
      <sz val="11"/>
      <name val="新細明體"/>
      <family val="1"/>
      <charset val="136"/>
      <scheme val="minor"/>
    </font>
    <font>
      <b/>
      <sz val="9"/>
      <color indexed="81"/>
      <name val="Tahoma"/>
      <family val="2"/>
    </font>
    <font>
      <sz val="9"/>
      <color indexed="81"/>
      <name val="細明體"/>
      <family val="3"/>
      <charset val="136"/>
    </font>
    <font>
      <sz val="18"/>
      <name val="標楷體"/>
      <family val="4"/>
      <charset val="136"/>
    </font>
    <font>
      <b/>
      <sz val="20"/>
      <name val="標楷體"/>
      <family val="4"/>
      <charset val="136"/>
    </font>
    <font>
      <sz val="20"/>
      <color rgb="FF000000"/>
      <name val="標楷體"/>
      <family val="4"/>
      <charset val="136"/>
    </font>
    <font>
      <sz val="12"/>
      <name val="新細明體"/>
      <family val="1"/>
      <charset val="136"/>
    </font>
    <font>
      <sz val="11"/>
      <name val="微軟正黑體"/>
      <family val="2"/>
      <charset val="136"/>
    </font>
    <font>
      <sz val="11"/>
      <name val="新細明體"/>
      <family val="1"/>
      <charset val="136"/>
      <scheme val="major"/>
    </font>
    <font>
      <sz val="11"/>
      <color theme="1"/>
      <name val="新細明體"/>
      <family val="1"/>
      <charset val="136"/>
      <scheme val="major"/>
    </font>
    <font>
      <b/>
      <sz val="16"/>
      <name val="新細明體"/>
      <family val="1"/>
      <charset val="136"/>
      <scheme val="minor"/>
    </font>
    <font>
      <b/>
      <sz val="16"/>
      <name val="Calibri"/>
      <family val="2"/>
    </font>
    <font>
      <b/>
      <sz val="16"/>
      <name val="標楷體"/>
      <family val="4"/>
      <charset val="136"/>
    </font>
    <font>
      <b/>
      <sz val="12"/>
      <color theme="1"/>
      <name val="標楷體"/>
      <family val="4"/>
      <charset val="136"/>
    </font>
    <font>
      <b/>
      <sz val="11"/>
      <color theme="1"/>
      <name val="標楷體"/>
      <family val="4"/>
      <charset val="136"/>
    </font>
    <font>
      <sz val="11"/>
      <name val="Calibri"/>
      <family val="2"/>
      <charset val="136"/>
    </font>
    <font>
      <sz val="11"/>
      <color rgb="FFFF0000"/>
      <name val="微軟正黑體"/>
      <family val="2"/>
      <charset val="136"/>
    </font>
    <font>
      <sz val="11"/>
      <color rgb="FFFF0000"/>
      <name val="細明體"/>
      <family val="3"/>
      <charset val="136"/>
    </font>
  </fonts>
  <fills count="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92D05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top/>
      <bottom style="thick">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s>
  <cellStyleXfs count="2">
    <xf numFmtId="0" fontId="0" fillId="0" borderId="0"/>
    <xf numFmtId="0" fontId="14" fillId="0" borderId="0"/>
  </cellStyleXfs>
  <cellXfs count="143">
    <xf numFmtId="0" fontId="0" fillId="0" borderId="0" xfId="0" applyAlignment="1">
      <alignment horizontal="left"/>
    </xf>
    <xf numFmtId="0" fontId="2" fillId="0" borderId="0" xfId="0" applyFont="1" applyAlignment="1">
      <alignment horizontal="left" vertical="center"/>
    </xf>
    <xf numFmtId="0" fontId="9" fillId="0" borderId="1" xfId="0" applyFont="1" applyBorder="1" applyAlignment="1">
      <alignment horizontal="center" vertical="center"/>
    </xf>
    <xf numFmtId="0" fontId="13" fillId="0" borderId="0" xfId="0" applyFont="1" applyAlignment="1">
      <alignment horizontal="left"/>
    </xf>
    <xf numFmtId="0" fontId="12" fillId="0" borderId="0" xfId="0" applyFont="1" applyAlignment="1">
      <alignment horizontal="left"/>
    </xf>
    <xf numFmtId="0" fontId="7" fillId="0" borderId="0" xfId="1" applyFont="1"/>
    <xf numFmtId="0" fontId="0" fillId="0" borderId="0" xfId="0" applyAlignment="1">
      <alignment horizontal="left" wrapText="1"/>
    </xf>
    <xf numFmtId="0" fontId="15" fillId="0" borderId="0" xfId="1" applyFont="1" applyAlignment="1">
      <alignment vertical="center"/>
    </xf>
    <xf numFmtId="0" fontId="18" fillId="0" borderId="0" xfId="1" applyFont="1"/>
    <xf numFmtId="0" fontId="13" fillId="0" borderId="0" xfId="0" applyFont="1" applyAlignment="1">
      <alignment horizontal="left" wrapText="1"/>
    </xf>
    <xf numFmtId="0" fontId="2" fillId="0" borderId="0" xfId="0" applyFont="1" applyAlignment="1">
      <alignment horizontal="left" vertical="center" wrapText="1"/>
    </xf>
    <xf numFmtId="0" fontId="2" fillId="0" borderId="0" xfId="0" applyFont="1" applyAlignment="1">
      <alignment horizontal="left" wrapText="1"/>
    </xf>
    <xf numFmtId="0" fontId="3" fillId="0" borderId="9" xfId="0" applyFont="1" applyBorder="1" applyAlignment="1">
      <alignment horizontal="center" vertical="center" wrapText="1"/>
    </xf>
    <xf numFmtId="0" fontId="2" fillId="0" borderId="0" xfId="0" applyFont="1" applyAlignment="1">
      <alignment horizontal="left"/>
    </xf>
    <xf numFmtId="0" fontId="2" fillId="0" borderId="1" xfId="0" applyFont="1" applyBorder="1" applyAlignment="1">
      <alignment horizontal="left" wrapText="1"/>
    </xf>
    <xf numFmtId="0" fontId="20" fillId="0" borderId="1" xfId="0" applyFont="1" applyBorder="1" applyAlignment="1">
      <alignment horizontal="center" vertical="center" wrapText="1"/>
    </xf>
    <xf numFmtId="0" fontId="5" fillId="2" borderId="1" xfId="0" applyFont="1" applyFill="1" applyBorder="1" applyAlignment="1">
      <alignment horizontal="justify" vertical="top" wrapText="1"/>
    </xf>
    <xf numFmtId="0" fontId="6" fillId="2" borderId="1" xfId="0" applyFont="1" applyFill="1" applyBorder="1" applyAlignment="1">
      <alignment horizontal="justify" vertical="top" wrapText="1"/>
    </xf>
    <xf numFmtId="0" fontId="4" fillId="2" borderId="1" xfId="0" applyFont="1" applyFill="1" applyBorder="1" applyAlignment="1">
      <alignment horizontal="justify" vertical="top" wrapText="1"/>
    </xf>
    <xf numFmtId="0" fontId="23" fillId="0" borderId="0" xfId="0" applyFont="1" applyAlignment="1">
      <alignment horizontal="left"/>
    </xf>
    <xf numFmtId="0" fontId="24" fillId="0" borderId="0" xfId="0" applyFont="1" applyAlignment="1">
      <alignment horizontal="left"/>
    </xf>
    <xf numFmtId="0" fontId="25" fillId="0" borderId="0" xfId="0" applyFont="1" applyAlignment="1">
      <alignment horizontal="left"/>
    </xf>
    <xf numFmtId="0" fontId="22" fillId="0" borderId="0" xfId="0" applyFont="1" applyAlignment="1">
      <alignment horizontal="left"/>
    </xf>
    <xf numFmtId="0" fontId="2" fillId="0" borderId="10" xfId="0" applyFont="1" applyBorder="1" applyAlignment="1">
      <alignment horizontal="left" wrapText="1"/>
    </xf>
    <xf numFmtId="0" fontId="2" fillId="0" borderId="17" xfId="0" applyFont="1" applyBorder="1" applyAlignment="1">
      <alignment horizontal="left" wrapText="1"/>
    </xf>
    <xf numFmtId="0" fontId="2" fillId="0" borderId="11" xfId="0" applyFont="1" applyBorder="1" applyAlignment="1">
      <alignment horizontal="left" wrapText="1"/>
    </xf>
    <xf numFmtId="0" fontId="2" fillId="0" borderId="12" xfId="0" applyFont="1" applyBorder="1" applyAlignment="1">
      <alignment horizontal="left" wrapText="1"/>
    </xf>
    <xf numFmtId="0" fontId="2" fillId="0" borderId="13" xfId="0" applyFont="1" applyBorder="1" applyAlignment="1">
      <alignment horizontal="left" wrapText="1"/>
    </xf>
    <xf numFmtId="0" fontId="2" fillId="0" borderId="22" xfId="0" applyFont="1" applyBorder="1" applyAlignment="1">
      <alignment horizontal="left"/>
    </xf>
    <xf numFmtId="0" fontId="2" fillId="0" borderId="4" xfId="0" applyFont="1" applyBorder="1" applyAlignment="1">
      <alignment horizontal="left"/>
    </xf>
    <xf numFmtId="0" fontId="2" fillId="0" borderId="23" xfId="0" applyFont="1" applyBorder="1" applyAlignment="1">
      <alignment horizontal="left"/>
    </xf>
    <xf numFmtId="0" fontId="2" fillId="0" borderId="5" xfId="0" applyFont="1" applyBorder="1" applyAlignment="1">
      <alignment horizontal="left"/>
    </xf>
    <xf numFmtId="0" fontId="2" fillId="0" borderId="1" xfId="0" applyFont="1" applyBorder="1" applyAlignment="1">
      <alignment horizontal="left"/>
    </xf>
    <xf numFmtId="0" fontId="2" fillId="0" borderId="21" xfId="0" applyFont="1" applyBorder="1" applyAlignment="1">
      <alignment horizontal="left"/>
    </xf>
    <xf numFmtId="0" fontId="28" fillId="0" borderId="0" xfId="0" applyFont="1" applyAlignment="1">
      <alignment horizontal="left" wrapText="1"/>
    </xf>
    <xf numFmtId="0" fontId="28" fillId="0" borderId="17" xfId="0" applyFont="1" applyBorder="1" applyAlignment="1">
      <alignment horizontal="left" wrapText="1"/>
    </xf>
    <xf numFmtId="0" fontId="28" fillId="0" borderId="0" xfId="0" applyFont="1" applyAlignment="1">
      <alignment horizontal="left" vertical="top" wrapText="1"/>
    </xf>
    <xf numFmtId="0" fontId="28" fillId="0" borderId="17" xfId="0" applyFont="1" applyBorder="1" applyAlignment="1">
      <alignment horizontal="left" vertical="top" wrapText="1"/>
    </xf>
    <xf numFmtId="49" fontId="2" fillId="0" borderId="0" xfId="0" applyNumberFormat="1" applyFont="1" applyAlignment="1">
      <alignment horizontal="left"/>
    </xf>
    <xf numFmtId="49" fontId="2" fillId="0" borderId="21" xfId="0" applyNumberFormat="1" applyFont="1" applyBorder="1" applyAlignment="1">
      <alignment horizontal="left"/>
    </xf>
    <xf numFmtId="49" fontId="2" fillId="0" borderId="1" xfId="0" applyNumberFormat="1" applyFont="1" applyBorder="1" applyAlignment="1">
      <alignment horizontal="left"/>
    </xf>
    <xf numFmtId="49" fontId="2" fillId="0" borderId="23" xfId="0" applyNumberFormat="1" applyFont="1" applyBorder="1" applyAlignment="1">
      <alignment horizontal="left"/>
    </xf>
    <xf numFmtId="0" fontId="26" fillId="0" borderId="0" xfId="0" applyFont="1" applyAlignment="1">
      <alignment horizontal="left" vertical="top" wrapText="1"/>
    </xf>
    <xf numFmtId="0" fontId="26" fillId="0" borderId="0" xfId="0" applyFont="1" applyAlignment="1">
      <alignment horizontal="left" vertical="top"/>
    </xf>
    <xf numFmtId="0" fontId="11" fillId="0" borderId="0" xfId="0" applyFont="1" applyAlignment="1">
      <alignment horizontal="left" vertical="top"/>
    </xf>
    <xf numFmtId="0" fontId="26" fillId="0" borderId="2" xfId="0" applyFont="1" applyBorder="1" applyAlignment="1">
      <alignment horizontal="left" vertical="top" wrapText="1"/>
    </xf>
    <xf numFmtId="0" fontId="26" fillId="0" borderId="5" xfId="0" applyFont="1" applyBorder="1" applyAlignment="1">
      <alignment horizontal="left" vertical="top"/>
    </xf>
    <xf numFmtId="0" fontId="31" fillId="0" borderId="0" xfId="0" applyFont="1" applyAlignment="1">
      <alignment horizontal="left" vertical="top"/>
    </xf>
    <xf numFmtId="0" fontId="26" fillId="0" borderId="0" xfId="0" applyFont="1" applyAlignment="1">
      <alignment horizontal="right" vertical="top"/>
    </xf>
    <xf numFmtId="0" fontId="0" fillId="0" borderId="1" xfId="0" applyBorder="1" applyAlignment="1">
      <alignment horizontal="left"/>
    </xf>
    <xf numFmtId="0" fontId="20" fillId="0" borderId="28" xfId="0" applyFont="1" applyBorder="1" applyAlignment="1">
      <alignment horizontal="center" vertical="center" wrapText="1"/>
    </xf>
    <xf numFmtId="0" fontId="34" fillId="0" borderId="0" xfId="0" applyFont="1" applyAlignment="1">
      <alignment horizontal="left"/>
    </xf>
    <xf numFmtId="0" fontId="18" fillId="0" borderId="0" xfId="1" applyFont="1" applyAlignment="1">
      <alignment wrapText="1"/>
    </xf>
    <xf numFmtId="0" fontId="35" fillId="0" borderId="0" xfId="0" applyFont="1" applyAlignment="1">
      <alignment horizontal="left" wrapText="1"/>
    </xf>
    <xf numFmtId="0" fontId="4" fillId="2" borderId="9" xfId="0" applyFont="1" applyFill="1" applyBorder="1" applyAlignment="1">
      <alignment horizontal="center" vertical="center" wrapText="1"/>
    </xf>
    <xf numFmtId="0" fontId="36" fillId="0" borderId="14" xfId="0" applyFont="1" applyBorder="1" applyAlignment="1">
      <alignment horizontal="left"/>
    </xf>
    <xf numFmtId="0" fontId="36" fillId="0" borderId="15" xfId="0" applyFont="1" applyBorder="1" applyAlignment="1">
      <alignment horizontal="left"/>
    </xf>
    <xf numFmtId="0" fontId="36" fillId="0" borderId="29" xfId="0" applyFont="1" applyBorder="1" applyAlignment="1">
      <alignment horizontal="left"/>
    </xf>
    <xf numFmtId="0" fontId="36" fillId="0" borderId="16" xfId="0" applyFont="1" applyBorder="1" applyAlignment="1">
      <alignment horizontal="left"/>
    </xf>
    <xf numFmtId="0" fontId="11" fillId="0" borderId="18" xfId="0" applyFont="1" applyBorder="1" applyAlignment="1">
      <alignment horizontal="left" vertical="top"/>
    </xf>
    <xf numFmtId="0" fontId="11" fillId="0" borderId="14" xfId="0" applyFont="1" applyBorder="1" applyAlignment="1">
      <alignment horizontal="left" vertical="top"/>
    </xf>
    <xf numFmtId="0" fontId="11" fillId="0" borderId="19" xfId="0" applyFont="1" applyBorder="1" applyAlignment="1">
      <alignment horizontal="left" vertical="top"/>
    </xf>
    <xf numFmtId="0" fontId="11" fillId="0" borderId="15" xfId="0" applyFont="1" applyBorder="1" applyAlignment="1">
      <alignment horizontal="left" vertical="top"/>
    </xf>
    <xf numFmtId="0" fontId="11" fillId="0" borderId="20" xfId="0" applyFont="1" applyBorder="1" applyAlignment="1">
      <alignment horizontal="left" vertical="top"/>
    </xf>
    <xf numFmtId="0" fontId="11" fillId="0" borderId="16" xfId="0" applyFont="1" applyBorder="1" applyAlignment="1">
      <alignment horizontal="left" vertical="top"/>
    </xf>
    <xf numFmtId="0" fontId="0" fillId="0" borderId="0" xfId="0" applyAlignment="1">
      <alignment horizontal="left" vertical="top"/>
    </xf>
    <xf numFmtId="0" fontId="38" fillId="3" borderId="22" xfId="0" applyFont="1" applyFill="1" applyBorder="1" applyAlignment="1">
      <alignment horizontal="center" vertical="center" wrapText="1"/>
    </xf>
    <xf numFmtId="0" fontId="38" fillId="0" borderId="10" xfId="0" applyFont="1" applyBorder="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xf>
    <xf numFmtId="0" fontId="41" fillId="0" borderId="1" xfId="1" applyFont="1" applyBorder="1" applyAlignment="1">
      <alignment horizontal="center" vertical="center"/>
    </xf>
    <xf numFmtId="0" fontId="18" fillId="0" borderId="30" xfId="1" applyFont="1" applyBorder="1"/>
    <xf numFmtId="0" fontId="43" fillId="0" borderId="0" xfId="0" applyFont="1" applyAlignment="1">
      <alignment horizontal="left" wrapText="1"/>
    </xf>
    <xf numFmtId="0" fontId="12" fillId="0" borderId="0" xfId="0" applyFont="1" applyAlignment="1">
      <alignment horizontal="left" wrapText="1"/>
    </xf>
    <xf numFmtId="0" fontId="45" fillId="0" borderId="0" xfId="0" applyFont="1" applyAlignment="1">
      <alignment horizontal="left" wrapText="1"/>
    </xf>
    <xf numFmtId="0" fontId="28" fillId="0" borderId="0" xfId="0" applyFont="1" applyAlignment="1">
      <alignment horizontal="center"/>
    </xf>
    <xf numFmtId="0" fontId="2" fillId="0" borderId="0" xfId="0" applyFont="1" applyAlignment="1">
      <alignment horizontal="left" vertical="top" wrapText="1"/>
    </xf>
    <xf numFmtId="0" fontId="0" fillId="0" borderId="0" xfId="0" pivotButton="1" applyAlignment="1">
      <alignment horizontal="left"/>
    </xf>
    <xf numFmtId="0" fontId="2" fillId="0" borderId="1" xfId="0" applyFont="1" applyBorder="1" applyAlignment="1">
      <alignment horizontal="center" vertical="center" textRotation="255" wrapText="1"/>
    </xf>
    <xf numFmtId="0" fontId="2" fillId="0" borderId="28" xfId="0" applyFont="1" applyBorder="1" applyAlignment="1">
      <alignment horizontal="left" wrapText="1"/>
    </xf>
    <xf numFmtId="0" fontId="15" fillId="0" borderId="1" xfId="1" applyFont="1" applyBorder="1" applyAlignment="1">
      <alignment vertical="center"/>
    </xf>
    <xf numFmtId="0" fontId="3" fillId="0" borderId="9" xfId="0" applyFont="1" applyBorder="1" applyAlignment="1">
      <alignment horizontal="center" vertical="top" wrapText="1"/>
    </xf>
    <xf numFmtId="0" fontId="0" fillId="0" borderId="21" xfId="0" applyBorder="1" applyAlignment="1">
      <alignment horizontal="left"/>
    </xf>
    <xf numFmtId="0" fontId="23" fillId="0" borderId="0" xfId="0" applyFont="1" applyAlignment="1">
      <alignment horizontal="left" wrapText="1"/>
    </xf>
    <xf numFmtId="0" fontId="2" fillId="0" borderId="1" xfId="0" applyFont="1" applyBorder="1" applyAlignment="1">
      <alignment horizontal="center" vertical="center" textRotation="255" wrapText="1"/>
    </xf>
    <xf numFmtId="0" fontId="2" fillId="0" borderId="4" xfId="0" applyFont="1" applyBorder="1" applyAlignment="1">
      <alignment horizontal="center"/>
    </xf>
    <xf numFmtId="0" fontId="2" fillId="0" borderId="23"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left" vertical="top" wrapText="1"/>
    </xf>
    <xf numFmtId="0" fontId="2" fillId="0" borderId="24" xfId="0" applyFont="1" applyBorder="1" applyAlignment="1">
      <alignment horizontal="left" vertical="top" wrapText="1"/>
    </xf>
    <xf numFmtId="0" fontId="2" fillId="0" borderId="7" xfId="0" applyFont="1" applyBorder="1" applyAlignment="1">
      <alignment horizontal="left" vertical="top" wrapText="1"/>
    </xf>
    <xf numFmtId="0" fontId="2" fillId="0" borderId="3" xfId="0" applyFont="1" applyBorder="1" applyAlignment="1">
      <alignment horizontal="left" vertical="top" wrapText="1"/>
    </xf>
    <xf numFmtId="0" fontId="2" fillId="0" borderId="0" xfId="0" applyFont="1" applyAlignment="1">
      <alignment horizontal="left" vertical="top" wrapText="1"/>
    </xf>
    <xf numFmtId="0" fontId="2" fillId="0" borderId="8" xfId="0" applyFont="1" applyBorder="1" applyAlignment="1">
      <alignment horizontal="left" vertical="top" wrapText="1"/>
    </xf>
    <xf numFmtId="0" fontId="2" fillId="0" borderId="25" xfId="0" applyFont="1" applyBorder="1" applyAlignment="1">
      <alignment horizontal="left" vertical="top" wrapText="1"/>
    </xf>
    <xf numFmtId="0" fontId="2" fillId="0" borderId="26" xfId="0" applyFont="1" applyBorder="1" applyAlignment="1">
      <alignment horizontal="left" vertical="top" wrapText="1"/>
    </xf>
    <xf numFmtId="0" fontId="2" fillId="0" borderId="27" xfId="0" applyFont="1" applyBorder="1" applyAlignment="1">
      <alignment horizontal="left" vertical="top" wrapText="1"/>
    </xf>
    <xf numFmtId="0" fontId="40" fillId="0" borderId="4" xfId="0" applyFont="1" applyBorder="1" applyAlignment="1">
      <alignment horizontal="center" vertical="center"/>
    </xf>
    <xf numFmtId="0" fontId="40" fillId="0" borderId="23" xfId="0" applyFont="1" applyBorder="1" applyAlignment="1">
      <alignment horizontal="center" vertical="center"/>
    </xf>
    <xf numFmtId="0" fontId="40" fillId="0" borderId="5" xfId="0" applyFont="1" applyBorder="1" applyAlignment="1">
      <alignment horizontal="center" vertical="center"/>
    </xf>
    <xf numFmtId="0" fontId="40" fillId="3" borderId="6" xfId="0" applyFont="1" applyFill="1" applyBorder="1" applyAlignment="1">
      <alignment horizontal="center" vertical="center"/>
    </xf>
    <xf numFmtId="0" fontId="40" fillId="3" borderId="7" xfId="0" applyFont="1" applyFill="1" applyBorder="1" applyAlignment="1">
      <alignment horizontal="center" vertical="center"/>
    </xf>
    <xf numFmtId="0" fontId="7" fillId="0" borderId="31" xfId="1" applyFont="1" applyBorder="1" applyAlignment="1">
      <alignment vertical="center" wrapText="1"/>
    </xf>
    <xf numFmtId="0" fontId="42" fillId="0" borderId="1" xfId="1" applyFont="1" applyBorder="1" applyAlignment="1">
      <alignment horizontal="center" vertical="center" wrapText="1"/>
    </xf>
    <xf numFmtId="0" fontId="42" fillId="0" borderId="30" xfId="1" applyFont="1" applyBorder="1" applyAlignment="1">
      <alignment horizontal="center" vertical="center" wrapText="1"/>
    </xf>
    <xf numFmtId="0" fontId="16" fillId="3" borderId="1" xfId="0" applyFont="1" applyFill="1" applyBorder="1" applyAlignment="1">
      <alignment horizontal="center" vertical="center"/>
    </xf>
    <xf numFmtId="0" fontId="19" fillId="3" borderId="9" xfId="0" applyFont="1" applyFill="1" applyBorder="1" applyAlignment="1">
      <alignment horizontal="center" vertical="center"/>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26" fillId="0" borderId="3" xfId="0" applyFont="1" applyBorder="1" applyAlignment="1">
      <alignment horizontal="left" vertical="top"/>
    </xf>
    <xf numFmtId="0" fontId="26" fillId="0" borderId="0" xfId="0" applyFont="1" applyAlignment="1">
      <alignment horizontal="left" vertical="top"/>
    </xf>
    <xf numFmtId="0" fontId="26" fillId="0" borderId="8" xfId="0" applyFont="1" applyBorder="1" applyAlignment="1">
      <alignment horizontal="left" vertical="top"/>
    </xf>
    <xf numFmtId="0" fontId="26" fillId="0" borderId="3" xfId="0" applyFont="1" applyBorder="1" applyAlignment="1">
      <alignment horizontal="left" vertical="top" wrapText="1"/>
    </xf>
    <xf numFmtId="0" fontId="26" fillId="0" borderId="6" xfId="0" applyFont="1" applyBorder="1" applyAlignment="1">
      <alignment horizontal="left" vertical="top" wrapText="1"/>
    </xf>
    <xf numFmtId="0" fontId="26" fillId="0" borderId="24" xfId="0" applyFont="1" applyBorder="1" applyAlignment="1">
      <alignment horizontal="left" vertical="top" wrapText="1"/>
    </xf>
    <xf numFmtId="0" fontId="26" fillId="0" borderId="7" xfId="0" applyFont="1" applyBorder="1" applyAlignment="1">
      <alignment horizontal="left" vertical="top" wrapText="1"/>
    </xf>
    <xf numFmtId="0" fontId="10" fillId="0" borderId="0" xfId="0" applyFont="1" applyAlignment="1">
      <alignment horizontal="center"/>
    </xf>
    <xf numFmtId="0" fontId="10" fillId="0" borderId="0" xfId="0" applyFont="1" applyAlignment="1">
      <alignment horizontal="center" vertical="top"/>
    </xf>
    <xf numFmtId="0" fontId="26" fillId="0" borderId="0" xfId="0" applyFont="1" applyAlignment="1">
      <alignment horizontal="left" vertical="top" wrapText="1"/>
    </xf>
    <xf numFmtId="0" fontId="26" fillId="0" borderId="0" xfId="0" applyFont="1" applyAlignment="1">
      <alignment horizontal="right" vertical="top"/>
    </xf>
    <xf numFmtId="0" fontId="26" fillId="0" borderId="25" xfId="0" applyFont="1" applyBorder="1" applyAlignment="1">
      <alignment horizontal="left" vertical="top" wrapText="1"/>
    </xf>
    <xf numFmtId="0" fontId="26" fillId="0" borderId="26" xfId="0" applyFont="1" applyBorder="1" applyAlignment="1">
      <alignment horizontal="left" vertical="top" wrapText="1"/>
    </xf>
    <xf numFmtId="0" fontId="26" fillId="0" borderId="27" xfId="0" applyFont="1" applyBorder="1" applyAlignment="1">
      <alignment horizontal="left" vertical="top" wrapText="1"/>
    </xf>
    <xf numFmtId="0" fontId="33" fillId="0" borderId="0" xfId="0" applyFont="1" applyAlignment="1">
      <alignment horizontal="left" vertical="top"/>
    </xf>
    <xf numFmtId="0" fontId="26" fillId="0" borderId="2" xfId="0" applyFont="1" applyBorder="1" applyAlignment="1">
      <alignment horizontal="left" vertical="top" wrapText="1"/>
    </xf>
    <xf numFmtId="0" fontId="32" fillId="0" borderId="6" xfId="0" applyFont="1" applyBorder="1" applyAlignment="1">
      <alignment horizontal="left" vertical="top" wrapText="1"/>
    </xf>
    <xf numFmtId="0" fontId="32" fillId="0" borderId="24" xfId="0" applyFont="1" applyBorder="1" applyAlignment="1">
      <alignment horizontal="left" vertical="top" wrapText="1"/>
    </xf>
    <xf numFmtId="0" fontId="32" fillId="0" borderId="7" xfId="0" applyFont="1" applyBorder="1" applyAlignment="1">
      <alignment horizontal="left" vertical="top" wrapText="1"/>
    </xf>
    <xf numFmtId="0" fontId="32" fillId="0" borderId="3" xfId="0" applyFont="1" applyBorder="1" applyAlignment="1">
      <alignment horizontal="left" vertical="top" wrapText="1"/>
    </xf>
    <xf numFmtId="0" fontId="32" fillId="0" borderId="0" xfId="0" applyFont="1" applyAlignment="1">
      <alignment horizontal="left" vertical="top" wrapText="1"/>
    </xf>
    <xf numFmtId="0" fontId="32" fillId="0" borderId="8" xfId="0" applyFont="1" applyBorder="1" applyAlignment="1">
      <alignment horizontal="left" vertical="top" wrapText="1"/>
    </xf>
    <xf numFmtId="0" fontId="32" fillId="0" borderId="4" xfId="0" applyFont="1" applyBorder="1" applyAlignment="1">
      <alignment horizontal="left" vertical="top" wrapText="1"/>
    </xf>
    <xf numFmtId="0" fontId="32" fillId="0" borderId="23" xfId="0" applyFont="1" applyBorder="1" applyAlignment="1">
      <alignment horizontal="left" vertical="top" wrapText="1"/>
    </xf>
    <xf numFmtId="0" fontId="26" fillId="0" borderId="8" xfId="0" applyFont="1" applyBorder="1" applyAlignment="1">
      <alignment horizontal="left" vertical="top" wrapText="1"/>
    </xf>
    <xf numFmtId="0" fontId="36" fillId="0" borderId="32" xfId="0" applyFont="1" applyBorder="1" applyAlignment="1">
      <alignment horizontal="left"/>
    </xf>
    <xf numFmtId="0" fontId="36" fillId="0" borderId="30" xfId="0" applyFont="1" applyBorder="1" applyAlignment="1">
      <alignment horizontal="left"/>
    </xf>
    <xf numFmtId="0" fontId="36" fillId="0" borderId="33" xfId="0" applyFont="1" applyBorder="1" applyAlignment="1">
      <alignment horizontal="left"/>
    </xf>
    <xf numFmtId="0" fontId="36" fillId="0" borderId="34" xfId="0" applyFont="1" applyBorder="1" applyAlignment="1">
      <alignment horizontal="left"/>
    </xf>
    <xf numFmtId="0" fontId="36" fillId="4" borderId="11" xfId="0" applyFont="1" applyFill="1" applyBorder="1" applyAlignment="1">
      <alignment horizontal="left"/>
    </xf>
    <xf numFmtId="0" fontId="36" fillId="4" borderId="12" xfId="0" applyFont="1" applyFill="1" applyBorder="1" applyAlignment="1">
      <alignment horizontal="left"/>
    </xf>
    <xf numFmtId="0" fontId="36" fillId="4" borderId="35" xfId="0" applyFont="1" applyFill="1" applyBorder="1" applyAlignment="1">
      <alignment horizontal="left"/>
    </xf>
    <xf numFmtId="0" fontId="36" fillId="4" borderId="13" xfId="0" applyFont="1" applyFill="1" applyBorder="1" applyAlignment="1">
      <alignment horizontal="left" wrapText="1"/>
    </xf>
  </cellXfs>
  <cellStyles count="2">
    <cellStyle name="一般" xfId="0" builtinId="0"/>
    <cellStyle name="一般 2" xfId="1" xr:uid="{A0D876ED-3420-4468-84A3-4EE09B288729}"/>
  </cellStyles>
  <dxfs count="21">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border diagonalUp="0" diagonalDown="0">
        <left style="medium">
          <color indexed="64"/>
        </left>
        <right style="medium">
          <color indexed="64"/>
        </right>
        <top/>
        <bottom/>
      </border>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center" vertical="bottom" textRotation="0" wrapText="0"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1"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細明體"/>
        <family val="3"/>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83820</xdr:colOff>
          <xdr:row>2</xdr:row>
          <xdr:rowOff>38100</xdr:rowOff>
        </xdr:from>
        <xdr:to>
          <xdr:col>0</xdr:col>
          <xdr:colOff>1889760</xdr:colOff>
          <xdr:row>4</xdr:row>
          <xdr:rowOff>213360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重新整理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5</xdr:row>
          <xdr:rowOff>266700</xdr:rowOff>
        </xdr:from>
        <xdr:to>
          <xdr:col>0</xdr:col>
          <xdr:colOff>1866900</xdr:colOff>
          <xdr:row>8</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轉出調閱清單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83820</xdr:colOff>
          <xdr:row>12</xdr:row>
          <xdr:rowOff>22860</xdr:rowOff>
        </xdr:from>
        <xdr:to>
          <xdr:col>0</xdr:col>
          <xdr:colOff>1889760</xdr:colOff>
          <xdr:row>13</xdr:row>
          <xdr:rowOff>266700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轉出稽核報告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9</xdr:row>
          <xdr:rowOff>213360</xdr:rowOff>
        </xdr:from>
        <xdr:to>
          <xdr:col>0</xdr:col>
          <xdr:colOff>1866900</xdr:colOff>
          <xdr:row>10</xdr:row>
          <xdr:rowOff>495300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轉出工作底稿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15</xdr:row>
          <xdr:rowOff>144780</xdr:rowOff>
        </xdr:from>
        <xdr:to>
          <xdr:col>0</xdr:col>
          <xdr:colOff>1783080</xdr:colOff>
          <xdr:row>16</xdr:row>
          <xdr:rowOff>121920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調整標點符號</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cob_wang" id="{18990302-9DA9-49FE-9409-F66EED6726CD}" userId="S::jacob_wang@pxpayplus.com::1a77e855-de72-481c-b084-c93220d04428" providerId="AD"/>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ob" refreshedDate="44881.58319247685" createdVersion="8" refreshedVersion="8" minRefreshableVersion="3" recordCount="0" supportSubquery="1" supportAdvancedDrill="1" xr:uid="{1D4F69B9-CC46-40B6-8601-A0530A514B21}">
  <cacheSource type="external" connectionId="2"/>
  <cacheFields count="2">
    <cacheField name="[查核作業].[查核作業].[查核作業]" caption="查核作業" numFmtId="0" hierarchy="1" level="1">
      <sharedItems count="2">
        <s v="委外管理作業管理"/>
        <s v="通路商付款及入帳作業"/>
      </sharedItems>
    </cacheField>
    <cacheField name="[查核作業].[查核項目].[查核項目]" caption="查核項目" numFmtId="0" hierarchy="2" level="1">
      <sharedItems count="10">
        <s v="本公司代收以新臺幣繳納儲值款項作業委外之管理，是否符合相關規範辦理。"/>
        <s v="本公司收付訊息處理作業委外之管理，是否符合相關規範辦理。"/>
        <s v="有關資訊作業委外相關事項是否依據本公司「第三方服務資訊安全管理辦法」之要求據以執行。"/>
        <s v="業務部是否針對該代收以新臺幣繳納儲值款項作業業務至少每半年對受託機構辦理相關檢核作業。"/>
        <s v="業務部是否針對該收付訊息處理作業委外業務至少每半年對受託機構辦理相關檢核作業。"/>
        <s v="若有應收帳款因退貨或折讓，是否由業務部開立「應收帳款異動通知申請單」及「客戶退貨申請單」後交由財務部進行帳務處理。"/>
        <s v="通路商提供之相關憑證內容是否與合約內容相符。"/>
        <s v="給付通路商之金額成本認列是否符合相關法規要求。"/>
        <s v="業務部是否提供客戶付款明細供財務部作為沖帳收款之依據。"/>
        <s v="與通路商對帳之資訊是否與實際入帳金額一致。"/>
      </sharedItems>
    </cacheField>
  </cacheFields>
  <cacheHierarchies count="7">
    <cacheHierarchy uniqueName="[作業清單].[作業清單]" caption="作業清單" attribute="1" defaultMemberUniqueName="[作業清單].[作業清單].[All]" allUniqueName="[作業清單].[作業清單].[All]" dimensionUniqueName="[作業清單]" displayFolder="" count="0" memberValueDatatype="130" unbalanced="0"/>
    <cacheHierarchy uniqueName="[查核作業].[查核作業]" caption="查核作業" attribute="1" defaultMemberUniqueName="[查核作業].[查核作業].[All]" allUniqueName="[查核作業].[查核作業].[All]" dimensionUniqueName="[查核作業]" displayFolder="" count="2" memberValueDatatype="130" unbalanced="0">
      <fieldsUsage count="2">
        <fieldUsage x="-1"/>
        <fieldUsage x="0"/>
      </fieldsUsage>
    </cacheHierarchy>
    <cacheHierarchy uniqueName="[查核作業].[查核項目]" caption="查核項目" attribute="1" defaultMemberUniqueName="[查核作業].[查核項目].[All]" allUniqueName="[查核作業].[查核項目].[All]" dimensionUniqueName="[查核作業]" displayFolder="" count="2" memberValueDatatype="130" unbalanced="0">
      <fieldsUsage count="2">
        <fieldUsage x="-1"/>
        <fieldUsage x="1"/>
      </fieldsUsage>
    </cacheHierarchy>
    <cacheHierarchy uniqueName="[查核作業].[實際執行事項說明]" caption="實際執行事項說明" attribute="1" defaultMemberUniqueName="[查核作業].[實際執行事項說明].[All]" allUniqueName="[查核作業].[實際執行事項說明].[All]" dimensionUniqueName="[查核作業]" displayFolder="" count="0" memberValueDatatype="130" unbalanced="0"/>
    <cacheHierarchy uniqueName="[Measures].[__XL_Count 作業清單]" caption="__XL_Count 作業清單" measure="1" displayFolder="" measureGroup="作業清單" count="0" hidden="1"/>
    <cacheHierarchy uniqueName="[Measures].[__XL_Count 查核作業]" caption="__XL_Count 查核作業" measure="1" displayFolder="" measureGroup="查核作業" count="0" hidden="1"/>
    <cacheHierarchy uniqueName="[Measures].[__No measures defined]" caption="__No measures defined" measure="1" displayFolder="" count="0" hidden="1"/>
  </cacheHierarchies>
  <kpis count="0"/>
  <dimensions count="3">
    <dimension measure="1" name="Measures" uniqueName="[Measures]" caption="Measures"/>
    <dimension name="作業清單" uniqueName="[作業清單]" caption="作業清單"/>
    <dimension name="查核作業" uniqueName="[查核作業]" caption="查核作業"/>
  </dimensions>
  <measureGroups count="2">
    <measureGroup name="作業清單" caption="作業清單"/>
    <measureGroup name="查核作業" caption="查核作業"/>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87C981-5739-4CF1-BC05-1BE1AA87B8C7}" name="樞紐分析表4" cacheId="0" applyNumberFormats="0" applyBorderFormats="0" applyFontFormats="0" applyPatternFormats="0" applyAlignmentFormats="0" applyWidthHeightFormats="1" dataCaption="值" updatedVersion="8" minRefreshableVersion="3" visualTotals="0" useAutoFormatting="1" pageOverThenDown="1" rowGrandTotals="0" itemPrintTitles="1" createdVersion="8" indent="0" compact="0" outline="1" outlineData="1" compactData="0" multipleFieldFilters="0">
  <location ref="A1:B13" firstHeaderRow="1" firstDataRow="1" firstDataCol="2"/>
  <pivotFields count="2">
    <pivotField axis="axisRow" compact="0" allDrilled="1" showAll="0" dataSourceSort="1" defaultSubtotal="0" defaultAttributeDrillState="1">
      <items count="2">
        <item x="0"/>
        <item x="1"/>
      </items>
    </pivotField>
    <pivotField axis="axisRow" compact="0" allDrilled="1" showAll="0" dataSourceSort="1" defaultSubtotal="0" defaultAttributeDrillState="1">
      <items count="10">
        <item x="0"/>
        <item x="1"/>
        <item x="2"/>
        <item x="3"/>
        <item x="4"/>
        <item x="5"/>
        <item x="6"/>
        <item x="7"/>
        <item x="8"/>
        <item x="9"/>
      </items>
    </pivotField>
  </pivotFields>
  <rowFields count="2">
    <field x="0"/>
    <field x="1"/>
  </rowFields>
  <rowItems count="12">
    <i>
      <x/>
    </i>
    <i r="1">
      <x/>
    </i>
    <i r="1">
      <x v="1"/>
    </i>
    <i r="1">
      <x v="2"/>
    </i>
    <i r="1">
      <x v="3"/>
    </i>
    <i r="1">
      <x v="4"/>
    </i>
    <i>
      <x v="1"/>
    </i>
    <i r="1">
      <x v="5"/>
    </i>
    <i r="1">
      <x v="6"/>
    </i>
    <i r="1">
      <x v="7"/>
    </i>
    <i r="1">
      <x v="8"/>
    </i>
    <i r="1">
      <x v="9"/>
    </i>
  </rowItems>
  <pivotHierarchies count="7">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查詢 - 查核作業">
        <x15:activeTabTopLevelEntity name="[查核作業]"/>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1" connectionId="3" xr16:uid="{F715B71D-4ED0-4437-B802-DAFC0A67BF9E}" autoFormatId="16" applyNumberFormats="0" applyBorderFormats="0" applyFontFormats="0" applyPatternFormats="0" applyAlignmentFormats="0" applyWidthHeightFormats="0">
  <queryTableRefresh nextId="12">
    <queryTableFields count="4">
      <queryTableField id="6" name="整理前查核循環" tableColumnId="4"/>
      <queryTableField id="3" name="內部控制制度" tableColumnId="3"/>
      <queryTableField id="1" name="外部法規" tableColumnId="1"/>
      <queryTableField id="2" name="查核循環"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2" backgroundRefresh="0" connectionId="1" xr16:uid="{014AFEC0-85D3-48AE-A9AB-6A5607E64A37}" autoFormatId="16" applyNumberFormats="0" applyBorderFormats="0" applyFontFormats="0" applyPatternFormats="0" applyAlignmentFormats="0" applyWidthHeightFormats="0">
  <queryTableRefresh nextId="2">
    <queryTableFields count="1">
      <queryTableField id="1" name="作業清單" tableColumnId="1"/>
    </queryTableFields>
  </queryTableRefresh>
  <extLst>
    <ext xmlns:x15="http://schemas.microsoft.com/office/spreadsheetml/2010/11/main" uri="{883FBD77-0823-4a55-B5E3-86C4891E6966}">
      <x15:queryTable sourceDataName="查詢 - 作業清單"/>
    </ext>
  </extLst>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22B7F4-E0AF-427C-B734-6BE5EFA15B70}" name="表格2" displayName="表格2" ref="C14:E24" totalsRowShown="0" headerRowDxfId="20">
  <autoFilter ref="C14:E24" xr:uid="{3922B7F4-E0AF-427C-B734-6BE5EFA15B70}"/>
  <tableColumns count="3">
    <tableColumn id="1" xr3:uid="{042EFD47-16F7-40E8-9BD4-3B6502E9CBB2}" name="查核作業"/>
    <tableColumn id="2" xr3:uid="{E32D77D7-7C92-401E-ADA9-9C0C480362B1}" name="查核項目" dataDxfId="19"/>
    <tableColumn id="3" xr3:uid="{91C250F7-1402-4403-AF13-A096D91F9E0E}" name="實際執行事項說明" dataDxfId="18"/>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9E37F2-7060-4171-9C82-EB3C59F05A4D}" name="表格3" displayName="表格3" ref="G14:I22" totalsRowShown="0" headerRowDxfId="17">
  <autoFilter ref="G14:I22" xr:uid="{329E37F2-7060-4171-9C82-EB3C59F05A4D}"/>
  <tableColumns count="3">
    <tableColumn id="1" xr3:uid="{833D28F1-283B-4201-B563-083D83F1D653}" name="內部控制制度" dataDxfId="16"/>
    <tableColumn id="2" xr3:uid="{869514D2-55BA-42A9-8453-5C8C743A53FE}" name="外部法規"/>
    <tableColumn id="3" xr3:uid="{36999E1E-5DBA-4A03-88B3-92D940456E40}" name="查核循環"/>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2E0B5F-1AC0-418F-9071-E86C1FC47974}" name="引用法規" displayName="引用法規" ref="F4:I12" tableType="queryTable" totalsRowShown="0" headerRowDxfId="15" dataDxfId="14">
  <autoFilter ref="F4:I12" xr:uid="{572E0B5F-1AC0-418F-9071-E86C1FC47974}"/>
  <tableColumns count="4">
    <tableColumn id="4" xr3:uid="{78A544A1-6082-434E-8254-847F0BA807DD}" uniqueName="4" name="整理前查核循環" queryTableFieldId="6" dataDxfId="13"/>
    <tableColumn id="3" xr3:uid="{70B23B4C-ED83-4A60-9CAD-4FF22670F73E}" uniqueName="3" name="內部控制制度" queryTableFieldId="3" dataDxfId="12"/>
    <tableColumn id="1" xr3:uid="{9F435581-4473-4DC3-805B-4336552BA974}" uniqueName="1" name="外部法規" queryTableFieldId="1" dataDxfId="11"/>
    <tableColumn id="2" xr3:uid="{2A4C5A88-593E-4AC1-B695-E3684A84CE2E}" uniqueName="2" name="查核循環" queryTableFieldId="2" dataDxf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C02DC08-037F-4488-B9A9-5933D0991475}" name="作業清單" displayName="作業清單" ref="K4:K6" tableType="queryTable" totalsRowShown="0" headerRowDxfId="9" dataDxfId="8">
  <autoFilter ref="K4:K6" xr:uid="{AC02DC08-037F-4488-B9A9-5933D0991475}"/>
  <tableColumns count="1">
    <tableColumn id="1" xr3:uid="{8489CE2B-9D23-450B-96C6-E1C223EA739B}" uniqueName="1" name="作業清單" queryTableFieldId="1" dataDxf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C224517-C8DC-423D-8C10-56CD86D326A4}" name="表格9" displayName="表格9" ref="A2:E12" totalsRowShown="0" headerRowDxfId="6" dataDxfId="5">
  <autoFilter ref="A2:E12" xr:uid="{FC224517-C8DC-423D-8C10-56CD86D326A4}"/>
  <sortState xmlns:xlrd2="http://schemas.microsoft.com/office/spreadsheetml/2017/richdata2" ref="A3:E9">
    <sortCondition ref="B2:B9"/>
  </sortState>
  <tableColumns count="5">
    <tableColumn id="1" xr3:uid="{BDFB6A49-B9A8-41AE-889B-03419D217763}" name="查核作業" dataDxfId="4"/>
    <tableColumn id="6" xr3:uid="{8F5C8316-F680-4F27-BBDD-D517258C845F}" name="順序" dataDxfId="3"/>
    <tableColumn id="2" xr3:uid="{2A72019B-F2E9-4FC9-A3B1-6A6C7C694A5E}" name="查核項目" dataDxfId="2">
      <calculatedColumnFormula>工作底稿!B5</calculatedColumnFormula>
    </tableColumn>
    <tableColumn id="3" xr3:uid="{8336B2D8-F00C-41AE-81E0-796A935CDCBC}" name="查核內容" dataDxfId="1">
      <calculatedColumnFormula>工作底稿!F5</calculatedColumnFormula>
    </tableColumn>
    <tableColumn id="4" xr3:uid="{DAFB0FF4-9EB4-4320-8B23-584E708E2B8A}" name="報告內容"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2" dT="2022-10-14T06:24:11.44" personId="{18990302-9DA9-49FE-9409-F66EED6726CD}" id="{A6A5DA66-EF20-45E9-89C9-44FA0180F6F4}">
    <text>IF(LEN(Variable!B14&amp;Variable!C14)&gt;4,Variable!B14&amp;Variable!C14,"")</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table" Target="../tables/table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B40A3-DF6A-4320-B722-DB756458FFAE}">
  <sheetPr codeName="工作表2">
    <tabColor rgb="FFFFFF00"/>
  </sheetPr>
  <dimension ref="B1:I134"/>
  <sheetViews>
    <sheetView tabSelected="1" topLeftCell="A6" workbookViewId="0">
      <selection activeCell="E6" sqref="E6"/>
    </sheetView>
  </sheetViews>
  <sheetFormatPr defaultRowHeight="21.6" customHeight="1" x14ac:dyDescent="0.3"/>
  <cols>
    <col min="1" max="1" width="28.77734375" customWidth="1"/>
    <col min="2" max="2" width="20.33203125" hidden="1" customWidth="1"/>
    <col min="3" max="3" width="30.6640625" customWidth="1"/>
    <col min="4" max="4" width="45.44140625" bestFit="1" customWidth="1"/>
    <col min="5" max="5" width="82.33203125" customWidth="1"/>
    <col min="6" max="6" width="6.88671875" customWidth="1"/>
    <col min="7" max="7" width="41.33203125" customWidth="1"/>
    <col min="8" max="8" width="48.77734375" customWidth="1"/>
    <col min="9" max="9" width="18.44140625" customWidth="1"/>
  </cols>
  <sheetData>
    <row r="1" spans="2:9" ht="22.2" customHeight="1" x14ac:dyDescent="0.3"/>
    <row r="2" spans="2:9" ht="21.6" customHeight="1" x14ac:dyDescent="0.4">
      <c r="C2" s="22" t="s">
        <v>37</v>
      </c>
      <c r="G2" s="21"/>
    </row>
    <row r="3" spans="2:9" ht="21.6" customHeight="1" thickBot="1" x14ac:dyDescent="0.35">
      <c r="C3" s="19" t="s">
        <v>38</v>
      </c>
      <c r="G3" s="19"/>
    </row>
    <row r="4" spans="2:9" ht="21.6" customHeight="1" x14ac:dyDescent="0.3">
      <c r="C4" s="139" t="s">
        <v>9</v>
      </c>
      <c r="D4" s="135" t="s">
        <v>12</v>
      </c>
      <c r="E4" s="55" t="s">
        <v>13</v>
      </c>
    </row>
    <row r="5" spans="2:9" ht="21.6" customHeight="1" x14ac:dyDescent="0.3">
      <c r="C5" s="140" t="s">
        <v>10</v>
      </c>
      <c r="D5" s="136" t="s">
        <v>152</v>
      </c>
      <c r="E5" s="56"/>
    </row>
    <row r="6" spans="2:9" ht="21.6" customHeight="1" x14ac:dyDescent="0.3">
      <c r="C6" s="140" t="s">
        <v>17</v>
      </c>
      <c r="D6" s="136" t="str">
        <f>C6&amp;"："&amp;"111年01月01日~" &amp;RIGHT(D5,10)</f>
        <v>查核範圍期間：111年01月01日~111年09月31日</v>
      </c>
      <c r="E6" s="56"/>
    </row>
    <row r="7" spans="2:9" ht="21.6" customHeight="1" x14ac:dyDescent="0.3">
      <c r="C7" s="140" t="s">
        <v>11</v>
      </c>
      <c r="D7" s="136" t="str">
        <f ca="1">"中華民國"&amp;YEAR(TODAY())-1911&amp;"年" &amp; MONTH(TODAY()) &amp; "月" &amp; DAY(TODAY()) &amp; "日"</f>
        <v>中華民國111年11月16日</v>
      </c>
      <c r="E7" s="56"/>
    </row>
    <row r="8" spans="2:9" ht="21.6" customHeight="1" x14ac:dyDescent="0.3">
      <c r="C8" s="140" t="s">
        <v>14</v>
      </c>
      <c r="D8" s="136" t="s">
        <v>104</v>
      </c>
      <c r="E8" s="56"/>
    </row>
    <row r="9" spans="2:9" ht="21.6" customHeight="1" x14ac:dyDescent="0.3">
      <c r="C9" s="141" t="s">
        <v>106</v>
      </c>
      <c r="D9" s="137" t="str">
        <f>C9&amp;"："&amp;"111年  月  日~"&amp;"111年  月  日"</f>
        <v>查核期間：111年  月  日~111年  月  日</v>
      </c>
      <c r="E9" s="57"/>
    </row>
    <row r="10" spans="2:9" ht="34.200000000000003" customHeight="1" thickBot="1" x14ac:dyDescent="0.35">
      <c r="C10" s="142" t="s">
        <v>50</v>
      </c>
      <c r="D10" s="138" t="b">
        <v>1</v>
      </c>
      <c r="E10" s="58"/>
    </row>
    <row r="11" spans="2:9" ht="39.6" customHeight="1" x14ac:dyDescent="0.3"/>
    <row r="12" spans="2:9" ht="21.6" customHeight="1" x14ac:dyDescent="0.4">
      <c r="C12" s="22" t="s">
        <v>39</v>
      </c>
      <c r="G12" s="20" t="s">
        <v>156</v>
      </c>
    </row>
    <row r="13" spans="2:9" ht="36.6" customHeight="1" x14ac:dyDescent="0.3">
      <c r="C13" s="83" t="s">
        <v>125</v>
      </c>
      <c r="D13" s="83"/>
      <c r="E13" s="83"/>
      <c r="G13" s="3" t="s">
        <v>24</v>
      </c>
    </row>
    <row r="14" spans="2:9" ht="21.6" customHeight="1" x14ac:dyDescent="0.3">
      <c r="C14" s="3" t="s">
        <v>20</v>
      </c>
      <c r="D14" s="3" t="s">
        <v>21</v>
      </c>
      <c r="E14" s="9" t="s">
        <v>6</v>
      </c>
      <c r="G14" s="3" t="s">
        <v>28</v>
      </c>
      <c r="H14" s="3" t="s">
        <v>30</v>
      </c>
      <c r="I14" s="3" t="s">
        <v>41</v>
      </c>
    </row>
    <row r="15" spans="2:9" ht="16.2" x14ac:dyDescent="0.3">
      <c r="B15" t="str">
        <f>Temporary!N5&amp;Temporary!R5&amp;Temporary!O5</f>
        <v>(一)</v>
      </c>
      <c r="C15" s="4" t="s">
        <v>118</v>
      </c>
      <c r="D15" s="53" t="s">
        <v>157</v>
      </c>
      <c r="E15" s="9"/>
      <c r="G15" s="51" t="s">
        <v>109</v>
      </c>
      <c r="H15" s="4" t="s">
        <v>33</v>
      </c>
      <c r="I15" s="4" t="s">
        <v>108</v>
      </c>
    </row>
    <row r="16" spans="2:9" ht="45" x14ac:dyDescent="0.3">
      <c r="B16" t="str">
        <f>Temporary!N6&amp;Temporary!R6&amp;Temporary!O6</f>
        <v>(二)</v>
      </c>
      <c r="D16" s="53" t="s">
        <v>197</v>
      </c>
      <c r="E16" s="9" t="s">
        <v>198</v>
      </c>
      <c r="G16" s="51" t="s">
        <v>110</v>
      </c>
      <c r="H16" s="4" t="s">
        <v>31</v>
      </c>
    </row>
    <row r="17" spans="2:8" ht="45" x14ac:dyDescent="0.3">
      <c r="B17" t="str">
        <f>Temporary!N7&amp;Temporary!R7&amp;Temporary!O7</f>
        <v>(三)</v>
      </c>
      <c r="D17" s="53" t="s">
        <v>158</v>
      </c>
      <c r="E17" s="74" t="s">
        <v>166</v>
      </c>
      <c r="G17" s="51" t="s">
        <v>111</v>
      </c>
      <c r="H17" s="4" t="s">
        <v>32</v>
      </c>
    </row>
    <row r="18" spans="2:8" ht="30" x14ac:dyDescent="0.3">
      <c r="B18" t="str">
        <f>Temporary!N8&amp;Temporary!R8&amp;Temporary!O8</f>
        <v>(四)</v>
      </c>
      <c r="D18" s="6" t="s">
        <v>100</v>
      </c>
      <c r="E18" s="73" t="s">
        <v>183</v>
      </c>
      <c r="G18" s="51" t="s">
        <v>112</v>
      </c>
    </row>
    <row r="19" spans="2:8" ht="45" x14ac:dyDescent="0.3">
      <c r="B19" t="str">
        <f>Temporary!N9&amp;Temporary!R9&amp;Temporary!O9</f>
        <v>(五)</v>
      </c>
      <c r="D19" s="53" t="s">
        <v>101</v>
      </c>
      <c r="E19" s="73" t="s">
        <v>182</v>
      </c>
      <c r="G19" s="51" t="s">
        <v>113</v>
      </c>
    </row>
    <row r="20" spans="2:8" ht="105" x14ac:dyDescent="0.3">
      <c r="B20" t="str">
        <f>Temporary!N10&amp;Temporary!R10&amp;Temporary!O10</f>
        <v>(六)</v>
      </c>
      <c r="C20" s="4" t="s">
        <v>120</v>
      </c>
      <c r="D20" s="53" t="s">
        <v>102</v>
      </c>
      <c r="E20" s="9" t="s">
        <v>167</v>
      </c>
      <c r="G20" s="51" t="s">
        <v>114</v>
      </c>
    </row>
    <row r="21" spans="2:8" ht="45" x14ac:dyDescent="0.3">
      <c r="B21" t="str">
        <f>Temporary!N11&amp;Temporary!R11&amp;Temporary!O11</f>
        <v>(七)</v>
      </c>
      <c r="D21" s="53" t="s">
        <v>124</v>
      </c>
      <c r="E21" s="73" t="s">
        <v>168</v>
      </c>
      <c r="G21" s="51" t="s">
        <v>115</v>
      </c>
    </row>
    <row r="22" spans="2:8" ht="105" x14ac:dyDescent="0.3">
      <c r="B22" t="str">
        <f>Temporary!N12&amp;Temporary!R12&amp;Temporary!O12</f>
        <v>(八)</v>
      </c>
      <c r="D22" s="53" t="s">
        <v>103</v>
      </c>
      <c r="E22" s="73" t="s">
        <v>169</v>
      </c>
      <c r="G22" s="51" t="s">
        <v>116</v>
      </c>
    </row>
    <row r="23" spans="2:8" ht="43.2" x14ac:dyDescent="0.3">
      <c r="B23" t="str">
        <f>Temporary!N13&amp;Temporary!R13&amp;Temporary!O13</f>
        <v>(九)</v>
      </c>
      <c r="D23" s="53" t="s">
        <v>122</v>
      </c>
      <c r="E23" s="53" t="s">
        <v>170</v>
      </c>
    </row>
    <row r="24" spans="2:8" ht="57.6" x14ac:dyDescent="0.3">
      <c r="B24" t="str">
        <f>Temporary!N14&amp;Temporary!R14&amp;Temporary!O14</f>
        <v>(十)</v>
      </c>
      <c r="D24" s="6" t="s">
        <v>22</v>
      </c>
      <c r="E24" s="72" t="s">
        <v>171</v>
      </c>
    </row>
    <row r="25" spans="2:8" ht="14.4" x14ac:dyDescent="0.3">
      <c r="B25" t="str">
        <f>Temporary!N15&amp;Temporary!R15&amp;Temporary!O15</f>
        <v>(十一)</v>
      </c>
    </row>
    <row r="26" spans="2:8" ht="14.4" x14ac:dyDescent="0.3">
      <c r="B26" t="str">
        <f>Temporary!N16&amp;Temporary!R16&amp;Temporary!O16</f>
        <v>(十二)</v>
      </c>
    </row>
    <row r="27" spans="2:8" ht="14.4" x14ac:dyDescent="0.3">
      <c r="B27" t="str">
        <f>Temporary!N17&amp;Temporary!R17&amp;Temporary!O17</f>
        <v>(十三)</v>
      </c>
    </row>
    <row r="28" spans="2:8" ht="14.4" x14ac:dyDescent="0.3">
      <c r="B28" t="str">
        <f>Temporary!N18&amp;Temporary!R18&amp;Temporary!O18</f>
        <v>(十四)</v>
      </c>
    </row>
    <row r="29" spans="2:8" ht="14.4" x14ac:dyDescent="0.3">
      <c r="B29" t="str">
        <f>Temporary!N19&amp;Temporary!R19&amp;Temporary!O19</f>
        <v>(十五)</v>
      </c>
    </row>
    <row r="30" spans="2:8" ht="64.8" customHeight="1" x14ac:dyDescent="0.3">
      <c r="B30" t="str">
        <f>Temporary!N20&amp;Temporary!R20&amp;Temporary!O20</f>
        <v>(十六)</v>
      </c>
      <c r="G30" s="4"/>
    </row>
    <row r="31" spans="2:8" ht="14.4" x14ac:dyDescent="0.3">
      <c r="B31" t="str">
        <f>Temporary!N21&amp;Temporary!R21&amp;Temporary!O21</f>
        <v>(十七)</v>
      </c>
    </row>
    <row r="32" spans="2:8" ht="72.599999999999994" customHeight="1" x14ac:dyDescent="0.3">
      <c r="B32" t="str">
        <f>Temporary!N22&amp;Temporary!R22&amp;Temporary!O22</f>
        <v>(十八)</v>
      </c>
    </row>
    <row r="33" spans="2:6" ht="62.4" customHeight="1" x14ac:dyDescent="0.3">
      <c r="B33" t="str">
        <f>Temporary!N23&amp;Temporary!R23&amp;Temporary!O23</f>
        <v>(十九)</v>
      </c>
    </row>
    <row r="34" spans="2:6" ht="21.6" customHeight="1" x14ac:dyDescent="0.3">
      <c r="B34" t="str">
        <f>Temporary!N24&amp;Temporary!R24&amp;Temporary!O24</f>
        <v>(二十)</v>
      </c>
    </row>
    <row r="35" spans="2:6" ht="21.6" customHeight="1" x14ac:dyDescent="0.3">
      <c r="B35" t="str">
        <f>Temporary!N25&amp;Temporary!R25&amp;Temporary!O25</f>
        <v/>
      </c>
    </row>
    <row r="36" spans="2:6" ht="21.6" customHeight="1" x14ac:dyDescent="0.3">
      <c r="B36" t="str">
        <f>Temporary!N26&amp;Temporary!R26&amp;Temporary!O26</f>
        <v/>
      </c>
    </row>
    <row r="37" spans="2:6" ht="21.6" customHeight="1" x14ac:dyDescent="0.3">
      <c r="B37" t="str">
        <f>Temporary!N27&amp;Temporary!R27&amp;Temporary!O27</f>
        <v/>
      </c>
    </row>
    <row r="38" spans="2:6" ht="21.6" customHeight="1" x14ac:dyDescent="0.3">
      <c r="B38" t="str">
        <f>Temporary!N28&amp;Temporary!R28&amp;Temporary!O28</f>
        <v/>
      </c>
      <c r="E38" s="4"/>
      <c r="F38" s="4"/>
    </row>
    <row r="39" spans="2:6" ht="21.6" customHeight="1" x14ac:dyDescent="0.3">
      <c r="B39" t="str">
        <f>Temporary!N29&amp;Temporary!R29&amp;Temporary!O29</f>
        <v/>
      </c>
      <c r="E39" s="13"/>
      <c r="F39" s="13"/>
    </row>
    <row r="40" spans="2:6" ht="21.6" customHeight="1" x14ac:dyDescent="0.3">
      <c r="B40" t="str">
        <f>Temporary!N30&amp;Temporary!R30&amp;Temporary!O30</f>
        <v/>
      </c>
    </row>
    <row r="41" spans="2:6" ht="21.6" customHeight="1" x14ac:dyDescent="0.3">
      <c r="B41" t="str">
        <f>Temporary!N31&amp;Temporary!R31&amp;Temporary!O31</f>
        <v/>
      </c>
    </row>
    <row r="42" spans="2:6" ht="21.6" customHeight="1" x14ac:dyDescent="0.3">
      <c r="B42" t="str">
        <f>Temporary!N32&amp;Temporary!R32&amp;Temporary!O32</f>
        <v/>
      </c>
    </row>
    <row r="43" spans="2:6" ht="21.6" customHeight="1" x14ac:dyDescent="0.3">
      <c r="B43" t="str">
        <f>Temporary!N33&amp;Temporary!R33&amp;Temporary!O33</f>
        <v/>
      </c>
    </row>
    <row r="44" spans="2:6" ht="21.6" customHeight="1" x14ac:dyDescent="0.3">
      <c r="B44" t="str">
        <f>Temporary!N34&amp;Temporary!R34&amp;Temporary!O34</f>
        <v/>
      </c>
    </row>
    <row r="45" spans="2:6" ht="21.6" customHeight="1" x14ac:dyDescent="0.3">
      <c r="B45" t="str">
        <f>Temporary!N35&amp;Temporary!R35&amp;Temporary!O35</f>
        <v/>
      </c>
    </row>
    <row r="46" spans="2:6" ht="21.6" customHeight="1" x14ac:dyDescent="0.3">
      <c r="B46" t="str">
        <f>Temporary!N36&amp;Temporary!R36&amp;Temporary!O36</f>
        <v/>
      </c>
    </row>
    <row r="47" spans="2:6" ht="21.6" customHeight="1" x14ac:dyDescent="0.3">
      <c r="B47" t="str">
        <f>Temporary!N37&amp;Temporary!R37&amp;Temporary!O37</f>
        <v/>
      </c>
    </row>
    <row r="48" spans="2:6" ht="21.6" customHeight="1" x14ac:dyDescent="0.3">
      <c r="B48" t="str">
        <f>Temporary!N38&amp;Temporary!R38&amp;Temporary!O38</f>
        <v/>
      </c>
    </row>
    <row r="49" spans="2:2" ht="21.6" customHeight="1" x14ac:dyDescent="0.3">
      <c r="B49" t="str">
        <f>Temporary!N39&amp;Temporary!R39&amp;Temporary!O39</f>
        <v/>
      </c>
    </row>
    <row r="50" spans="2:2" ht="21.6" customHeight="1" x14ac:dyDescent="0.3">
      <c r="B50" t="str">
        <f>Temporary!N40&amp;Temporary!R40&amp;Temporary!O40</f>
        <v/>
      </c>
    </row>
    <row r="51" spans="2:2" ht="21.6" customHeight="1" x14ac:dyDescent="0.3">
      <c r="B51" t="str">
        <f>Temporary!N41&amp;Temporary!R41&amp;Temporary!O41</f>
        <v/>
      </c>
    </row>
    <row r="52" spans="2:2" ht="21.6" customHeight="1" x14ac:dyDescent="0.3">
      <c r="B52" t="str">
        <f>Temporary!N42&amp;Temporary!R42&amp;Temporary!O42</f>
        <v/>
      </c>
    </row>
    <row r="53" spans="2:2" ht="21.6" customHeight="1" x14ac:dyDescent="0.3">
      <c r="B53" t="str">
        <f>Temporary!N43&amp;Temporary!R43&amp;Temporary!O43</f>
        <v/>
      </c>
    </row>
    <row r="54" spans="2:2" ht="21.6" customHeight="1" x14ac:dyDescent="0.3">
      <c r="B54" t="str">
        <f>Temporary!N44&amp;Temporary!R44&amp;Temporary!O44</f>
        <v/>
      </c>
    </row>
    <row r="55" spans="2:2" ht="21.6" customHeight="1" x14ac:dyDescent="0.3">
      <c r="B55" t="str">
        <f>Temporary!N45&amp;Temporary!R45&amp;Temporary!O45</f>
        <v/>
      </c>
    </row>
    <row r="56" spans="2:2" ht="21.6" customHeight="1" x14ac:dyDescent="0.3">
      <c r="B56" t="str">
        <f>Temporary!N46&amp;Temporary!R46&amp;Temporary!O46</f>
        <v/>
      </c>
    </row>
    <row r="57" spans="2:2" ht="21.6" customHeight="1" x14ac:dyDescent="0.3">
      <c r="B57" t="str">
        <f>Temporary!N47&amp;Temporary!R47&amp;Temporary!O47</f>
        <v/>
      </c>
    </row>
    <row r="58" spans="2:2" ht="21.6" customHeight="1" x14ac:dyDescent="0.3">
      <c r="B58" t="str">
        <f>Temporary!N48&amp;Temporary!R48&amp;Temporary!O48</f>
        <v/>
      </c>
    </row>
    <row r="59" spans="2:2" ht="21.6" customHeight="1" x14ac:dyDescent="0.3">
      <c r="B59" t="str">
        <f>Temporary!N49&amp;Temporary!R49&amp;Temporary!O49</f>
        <v/>
      </c>
    </row>
    <row r="60" spans="2:2" ht="21.6" customHeight="1" x14ac:dyDescent="0.3">
      <c r="B60" t="str">
        <f>Temporary!N50&amp;Temporary!R50&amp;Temporary!O50</f>
        <v/>
      </c>
    </row>
    <row r="61" spans="2:2" ht="21.6" customHeight="1" x14ac:dyDescent="0.3">
      <c r="B61" t="str">
        <f>Temporary!N51&amp;Temporary!R51&amp;Temporary!O51</f>
        <v/>
      </c>
    </row>
    <row r="62" spans="2:2" ht="21.6" customHeight="1" x14ac:dyDescent="0.3">
      <c r="B62" t="str">
        <f>Temporary!N52&amp;Temporary!R52&amp;Temporary!O52</f>
        <v/>
      </c>
    </row>
    <row r="63" spans="2:2" ht="21.6" customHeight="1" x14ac:dyDescent="0.3">
      <c r="B63" t="str">
        <f>Temporary!N53&amp;Temporary!R53&amp;Temporary!O53</f>
        <v/>
      </c>
    </row>
    <row r="64" spans="2:2" ht="21.6" customHeight="1" x14ac:dyDescent="0.3">
      <c r="B64" t="str">
        <f>Temporary!N54&amp;Temporary!R54&amp;Temporary!O54</f>
        <v/>
      </c>
    </row>
    <row r="65" spans="2:2" ht="21.6" customHeight="1" x14ac:dyDescent="0.3">
      <c r="B65" t="str">
        <f>Temporary!N55&amp;Temporary!R55&amp;Temporary!O55</f>
        <v/>
      </c>
    </row>
    <row r="66" spans="2:2" ht="21.6" customHeight="1" x14ac:dyDescent="0.3">
      <c r="B66" t="str">
        <f>Temporary!N56&amp;Temporary!R56&amp;Temporary!O56</f>
        <v/>
      </c>
    </row>
    <row r="67" spans="2:2" ht="21.6" customHeight="1" x14ac:dyDescent="0.3">
      <c r="B67" t="str">
        <f>Temporary!N57&amp;Temporary!R57&amp;Temporary!O57</f>
        <v/>
      </c>
    </row>
    <row r="68" spans="2:2" ht="21.6" customHeight="1" x14ac:dyDescent="0.3">
      <c r="B68" t="str">
        <f>Temporary!N58&amp;Temporary!R58&amp;Temporary!O58</f>
        <v/>
      </c>
    </row>
    <row r="69" spans="2:2" ht="21.6" customHeight="1" x14ac:dyDescent="0.3">
      <c r="B69" t="str">
        <f>Temporary!N59&amp;Temporary!R59&amp;Temporary!O59</f>
        <v/>
      </c>
    </row>
    <row r="70" spans="2:2" ht="21.6" customHeight="1" x14ac:dyDescent="0.3">
      <c r="B70" t="str">
        <f>Temporary!N60&amp;Temporary!R60&amp;Temporary!O60</f>
        <v/>
      </c>
    </row>
    <row r="71" spans="2:2" ht="21.6" customHeight="1" x14ac:dyDescent="0.3">
      <c r="B71" t="str">
        <f>Temporary!N61&amp;Temporary!R61&amp;Temporary!O61</f>
        <v/>
      </c>
    </row>
    <row r="72" spans="2:2" ht="21.6" customHeight="1" x14ac:dyDescent="0.3">
      <c r="B72" t="str">
        <f>Temporary!N62&amp;Temporary!R62&amp;Temporary!O62</f>
        <v/>
      </c>
    </row>
    <row r="73" spans="2:2" ht="21.6" customHeight="1" x14ac:dyDescent="0.3">
      <c r="B73" t="str">
        <f>Temporary!N63&amp;Temporary!R63&amp;Temporary!O63</f>
        <v/>
      </c>
    </row>
    <row r="74" spans="2:2" ht="21.6" customHeight="1" x14ac:dyDescent="0.3">
      <c r="B74" t="str">
        <f>Temporary!N64&amp;Temporary!R64&amp;Temporary!O64</f>
        <v/>
      </c>
    </row>
    <row r="75" spans="2:2" ht="21.6" customHeight="1" x14ac:dyDescent="0.3">
      <c r="B75" t="str">
        <f>Temporary!N65&amp;Temporary!R65&amp;Temporary!O65</f>
        <v/>
      </c>
    </row>
    <row r="76" spans="2:2" ht="21.6" customHeight="1" x14ac:dyDescent="0.3">
      <c r="B76" t="str">
        <f>Temporary!N66&amp;Temporary!R66&amp;Temporary!O66</f>
        <v/>
      </c>
    </row>
    <row r="77" spans="2:2" ht="21.6" customHeight="1" x14ac:dyDescent="0.3">
      <c r="B77" t="str">
        <f>Temporary!N67&amp;Temporary!R67&amp;Temporary!O67</f>
        <v/>
      </c>
    </row>
    <row r="78" spans="2:2" ht="21.6" customHeight="1" x14ac:dyDescent="0.3">
      <c r="B78" t="str">
        <f>Temporary!N68&amp;Temporary!R68&amp;Temporary!O68</f>
        <v/>
      </c>
    </row>
    <row r="79" spans="2:2" ht="21.6" customHeight="1" x14ac:dyDescent="0.3">
      <c r="B79" t="str">
        <f>Temporary!N69&amp;Temporary!R69&amp;Temporary!O69</f>
        <v/>
      </c>
    </row>
    <row r="80" spans="2:2" ht="21.6" customHeight="1" x14ac:dyDescent="0.3">
      <c r="B80" t="str">
        <f>Temporary!N70&amp;Temporary!R70&amp;Temporary!O70</f>
        <v/>
      </c>
    </row>
    <row r="81" spans="2:2" ht="21.6" customHeight="1" x14ac:dyDescent="0.3">
      <c r="B81" t="str">
        <f>Temporary!N71&amp;Temporary!R71&amp;Temporary!O71</f>
        <v/>
      </c>
    </row>
    <row r="82" spans="2:2" ht="21.6" customHeight="1" x14ac:dyDescent="0.3">
      <c r="B82" t="str">
        <f>Temporary!N72&amp;Temporary!R72&amp;Temporary!O72</f>
        <v/>
      </c>
    </row>
    <row r="83" spans="2:2" ht="21.6" customHeight="1" x14ac:dyDescent="0.3">
      <c r="B83" t="str">
        <f>Temporary!N73&amp;Temporary!R73&amp;Temporary!O73</f>
        <v/>
      </c>
    </row>
    <row r="84" spans="2:2" ht="21.6" customHeight="1" x14ac:dyDescent="0.3">
      <c r="B84" t="str">
        <f>Temporary!N74&amp;Temporary!R74&amp;Temporary!O74</f>
        <v/>
      </c>
    </row>
    <row r="85" spans="2:2" ht="21.6" customHeight="1" x14ac:dyDescent="0.3">
      <c r="B85" t="str">
        <f>Temporary!N75&amp;Temporary!R75&amp;Temporary!O75</f>
        <v/>
      </c>
    </row>
    <row r="86" spans="2:2" ht="21.6" customHeight="1" x14ac:dyDescent="0.3">
      <c r="B86" t="str">
        <f>Temporary!N76&amp;Temporary!R76&amp;Temporary!O76</f>
        <v/>
      </c>
    </row>
    <row r="87" spans="2:2" ht="21.6" customHeight="1" x14ac:dyDescent="0.3">
      <c r="B87" t="str">
        <f>Temporary!N77&amp;Temporary!R77&amp;Temporary!O77</f>
        <v/>
      </c>
    </row>
    <row r="88" spans="2:2" ht="21.6" customHeight="1" x14ac:dyDescent="0.3">
      <c r="B88" t="str">
        <f>Temporary!N78&amp;Temporary!R78&amp;Temporary!O78</f>
        <v/>
      </c>
    </row>
    <row r="89" spans="2:2" ht="21.6" customHeight="1" x14ac:dyDescent="0.3">
      <c r="B89" t="str">
        <f>Temporary!N79&amp;Temporary!R79&amp;Temporary!O79</f>
        <v/>
      </c>
    </row>
    <row r="90" spans="2:2" ht="21.6" customHeight="1" x14ac:dyDescent="0.3">
      <c r="B90" t="str">
        <f>Temporary!N80&amp;Temporary!R80&amp;Temporary!O80</f>
        <v/>
      </c>
    </row>
    <row r="91" spans="2:2" ht="21.6" customHeight="1" x14ac:dyDescent="0.3">
      <c r="B91" t="str">
        <f>Temporary!N81&amp;Temporary!R81&amp;Temporary!O81</f>
        <v/>
      </c>
    </row>
    <row r="92" spans="2:2" ht="21.6" customHeight="1" x14ac:dyDescent="0.3">
      <c r="B92" t="str">
        <f>Temporary!N82&amp;Temporary!R82&amp;Temporary!O82</f>
        <v/>
      </c>
    </row>
    <row r="93" spans="2:2" ht="21.6" customHeight="1" x14ac:dyDescent="0.3">
      <c r="B93" t="str">
        <f>Temporary!N83&amp;Temporary!R83&amp;Temporary!O83</f>
        <v/>
      </c>
    </row>
    <row r="94" spans="2:2" ht="21.6" customHeight="1" x14ac:dyDescent="0.3">
      <c r="B94" t="str">
        <f>Temporary!N84&amp;Temporary!R84&amp;Temporary!O84</f>
        <v/>
      </c>
    </row>
    <row r="95" spans="2:2" ht="21.6" customHeight="1" x14ac:dyDescent="0.3">
      <c r="B95" t="str">
        <f>Temporary!N85&amp;Temporary!R85&amp;Temporary!O85</f>
        <v/>
      </c>
    </row>
    <row r="96" spans="2:2" ht="21.6" customHeight="1" x14ac:dyDescent="0.3">
      <c r="B96" t="str">
        <f>Temporary!N86&amp;Temporary!R86&amp;Temporary!O86</f>
        <v/>
      </c>
    </row>
    <row r="97" spans="2:2" ht="21.6" customHeight="1" x14ac:dyDescent="0.3">
      <c r="B97" t="str">
        <f>Temporary!N87&amp;Temporary!R87&amp;Temporary!O87</f>
        <v/>
      </c>
    </row>
    <row r="98" spans="2:2" ht="21.6" customHeight="1" x14ac:dyDescent="0.3">
      <c r="B98" t="str">
        <f>Temporary!N88&amp;Temporary!R88&amp;Temporary!O88</f>
        <v/>
      </c>
    </row>
    <row r="99" spans="2:2" ht="21.6" customHeight="1" x14ac:dyDescent="0.3">
      <c r="B99" t="str">
        <f>Temporary!N89&amp;Temporary!R89&amp;Temporary!O89</f>
        <v/>
      </c>
    </row>
    <row r="100" spans="2:2" ht="21.6" customHeight="1" x14ac:dyDescent="0.3">
      <c r="B100" t="str">
        <f>Temporary!N90&amp;Temporary!R90&amp;Temporary!O90</f>
        <v/>
      </c>
    </row>
    <row r="101" spans="2:2" ht="21.6" customHeight="1" x14ac:dyDescent="0.3">
      <c r="B101" t="str">
        <f>Temporary!N91&amp;Temporary!R91&amp;Temporary!O91</f>
        <v/>
      </c>
    </row>
    <row r="102" spans="2:2" ht="21.6" customHeight="1" x14ac:dyDescent="0.3">
      <c r="B102" t="str">
        <f>Temporary!N92&amp;Temporary!R92&amp;Temporary!O92</f>
        <v/>
      </c>
    </row>
    <row r="103" spans="2:2" ht="21.6" customHeight="1" x14ac:dyDescent="0.3">
      <c r="B103" t="str">
        <f>Temporary!N93&amp;Temporary!R93&amp;Temporary!O93</f>
        <v/>
      </c>
    </row>
    <row r="104" spans="2:2" ht="21.6" customHeight="1" x14ac:dyDescent="0.3">
      <c r="B104" t="str">
        <f>Temporary!N94&amp;Temporary!R94&amp;Temporary!O94</f>
        <v/>
      </c>
    </row>
    <row r="105" spans="2:2" ht="21.6" customHeight="1" x14ac:dyDescent="0.3">
      <c r="B105" t="str">
        <f>Temporary!N95&amp;Temporary!R95&amp;Temporary!O95</f>
        <v/>
      </c>
    </row>
    <row r="106" spans="2:2" ht="21.6" customHeight="1" x14ac:dyDescent="0.3">
      <c r="B106" t="str">
        <f>Temporary!N96&amp;Temporary!R96&amp;Temporary!O96</f>
        <v/>
      </c>
    </row>
    <row r="107" spans="2:2" ht="21.6" customHeight="1" x14ac:dyDescent="0.3">
      <c r="B107" t="str">
        <f>Temporary!N97&amp;Temporary!R97&amp;Temporary!O97</f>
        <v/>
      </c>
    </row>
    <row r="108" spans="2:2" ht="21.6" customHeight="1" x14ac:dyDescent="0.3">
      <c r="B108" t="str">
        <f>Temporary!N98&amp;Temporary!R98&amp;Temporary!O98</f>
        <v/>
      </c>
    </row>
    <row r="109" spans="2:2" ht="21.6" customHeight="1" x14ac:dyDescent="0.3">
      <c r="B109" t="str">
        <f>Temporary!N99&amp;Temporary!R99&amp;Temporary!O99</f>
        <v/>
      </c>
    </row>
    <row r="110" spans="2:2" ht="21.6" customHeight="1" x14ac:dyDescent="0.3">
      <c r="B110" t="str">
        <f>Temporary!N100&amp;Temporary!R100&amp;Temporary!O100</f>
        <v/>
      </c>
    </row>
    <row r="111" spans="2:2" ht="21.6" customHeight="1" x14ac:dyDescent="0.3">
      <c r="B111" t="str">
        <f>Temporary!N101&amp;Temporary!R101&amp;Temporary!O101</f>
        <v/>
      </c>
    </row>
    <row r="112" spans="2:2" ht="21.6" customHeight="1" x14ac:dyDescent="0.3">
      <c r="B112" t="str">
        <f>Temporary!N102&amp;Temporary!R102&amp;Temporary!O102</f>
        <v/>
      </c>
    </row>
    <row r="113" spans="2:2" ht="21.6" customHeight="1" x14ac:dyDescent="0.3">
      <c r="B113" t="str">
        <f>Temporary!N103&amp;Temporary!R103&amp;Temporary!O103</f>
        <v/>
      </c>
    </row>
    <row r="114" spans="2:2" ht="21.6" customHeight="1" x14ac:dyDescent="0.3">
      <c r="B114" t="str">
        <f>Temporary!N104&amp;Temporary!R104&amp;Temporary!O104</f>
        <v/>
      </c>
    </row>
    <row r="115" spans="2:2" ht="21.6" customHeight="1" x14ac:dyDescent="0.3">
      <c r="B115" t="str">
        <f>Temporary!N105&amp;Temporary!R105&amp;Temporary!O105</f>
        <v/>
      </c>
    </row>
    <row r="116" spans="2:2" ht="21.6" customHeight="1" x14ac:dyDescent="0.3">
      <c r="B116" t="str">
        <f>Temporary!N106&amp;Temporary!R106&amp;Temporary!O106</f>
        <v/>
      </c>
    </row>
    <row r="117" spans="2:2" ht="21.6" customHeight="1" x14ac:dyDescent="0.3">
      <c r="B117" t="str">
        <f>Temporary!N107&amp;Temporary!R107&amp;Temporary!O107</f>
        <v/>
      </c>
    </row>
    <row r="118" spans="2:2" ht="21.6" customHeight="1" x14ac:dyDescent="0.3">
      <c r="B118" t="str">
        <f>Temporary!N108&amp;Temporary!R108&amp;Temporary!O108</f>
        <v/>
      </c>
    </row>
    <row r="119" spans="2:2" ht="21.6" customHeight="1" x14ac:dyDescent="0.3">
      <c r="B119" t="str">
        <f>Temporary!N109&amp;Temporary!R109&amp;Temporary!O109</f>
        <v/>
      </c>
    </row>
    <row r="120" spans="2:2" ht="21.6" customHeight="1" x14ac:dyDescent="0.3">
      <c r="B120" t="str">
        <f>Temporary!N110&amp;Temporary!R110&amp;Temporary!O110</f>
        <v/>
      </c>
    </row>
    <row r="121" spans="2:2" ht="21.6" customHeight="1" x14ac:dyDescent="0.3">
      <c r="B121" t="str">
        <f>Temporary!N111&amp;Temporary!R111&amp;Temporary!O111</f>
        <v/>
      </c>
    </row>
    <row r="122" spans="2:2" ht="21.6" customHeight="1" x14ac:dyDescent="0.3">
      <c r="B122" t="str">
        <f>Temporary!N112&amp;Temporary!R112&amp;Temporary!O112</f>
        <v/>
      </c>
    </row>
    <row r="123" spans="2:2" ht="21.6" customHeight="1" x14ac:dyDescent="0.3">
      <c r="B123" t="str">
        <f>Temporary!N113&amp;Temporary!R113&amp;Temporary!O113</f>
        <v/>
      </c>
    </row>
    <row r="124" spans="2:2" ht="21.6" customHeight="1" x14ac:dyDescent="0.3">
      <c r="B124" t="str">
        <f>Temporary!N114&amp;Temporary!R114&amp;Temporary!O114</f>
        <v/>
      </c>
    </row>
    <row r="125" spans="2:2" ht="21.6" customHeight="1" x14ac:dyDescent="0.3">
      <c r="B125" t="str">
        <f>Temporary!N115&amp;Temporary!R115&amp;Temporary!O115</f>
        <v/>
      </c>
    </row>
    <row r="126" spans="2:2" ht="21.6" customHeight="1" x14ac:dyDescent="0.3">
      <c r="B126" t="str">
        <f>Temporary!N116&amp;Temporary!R116&amp;Temporary!O116</f>
        <v/>
      </c>
    </row>
    <row r="127" spans="2:2" ht="21.6" customHeight="1" x14ac:dyDescent="0.3">
      <c r="B127" t="str">
        <f>Temporary!N117&amp;Temporary!R117&amp;Temporary!O117</f>
        <v/>
      </c>
    </row>
    <row r="128" spans="2:2" ht="21.6" customHeight="1" x14ac:dyDescent="0.3">
      <c r="B128" t="str">
        <f>Temporary!N118&amp;Temporary!R118&amp;Temporary!O118</f>
        <v/>
      </c>
    </row>
    <row r="129" spans="2:2" ht="21.6" customHeight="1" x14ac:dyDescent="0.3">
      <c r="B129" t="str">
        <f>Temporary!N119&amp;Temporary!R119&amp;Temporary!O119</f>
        <v/>
      </c>
    </row>
    <row r="130" spans="2:2" ht="21.6" customHeight="1" x14ac:dyDescent="0.3">
      <c r="B130" t="str">
        <f>Temporary!N120&amp;Temporary!R120&amp;Temporary!O120</f>
        <v/>
      </c>
    </row>
    <row r="131" spans="2:2" ht="21.6" customHeight="1" x14ac:dyDescent="0.3">
      <c r="B131" t="str">
        <f>Temporary!N121&amp;Temporary!R121&amp;Temporary!O121</f>
        <v/>
      </c>
    </row>
    <row r="132" spans="2:2" ht="21.6" customHeight="1" x14ac:dyDescent="0.3">
      <c r="B132" t="str">
        <f>Temporary!N122&amp;Temporary!R122&amp;Temporary!O122</f>
        <v/>
      </c>
    </row>
    <row r="133" spans="2:2" ht="21.6" customHeight="1" x14ac:dyDescent="0.3">
      <c r="B133" t="str">
        <f>Temporary!N123&amp;Temporary!R123&amp;Temporary!O123</f>
        <v/>
      </c>
    </row>
    <row r="134" spans="2:2" ht="21.6" customHeight="1" x14ac:dyDescent="0.3">
      <c r="B134" t="str">
        <f>Temporary!N124&amp;Temporary!R124&amp;Temporary!O124</f>
        <v/>
      </c>
    </row>
  </sheetData>
  <mergeCells count="1">
    <mergeCell ref="C13:E13"/>
  </mergeCells>
  <phoneticPr fontId="1" type="noConversion"/>
  <pageMargins left="0.70866141732283472" right="0.70866141732283472" top="0.74803149606299213" bottom="0.74803149606299213" header="0.31496062992125984" footer="0.31496062992125984"/>
  <pageSetup paperSize="9" scale="57"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0</xdr:col>
                    <xdr:colOff>83820</xdr:colOff>
                    <xdr:row>2</xdr:row>
                    <xdr:rowOff>38100</xdr:rowOff>
                  </from>
                  <to>
                    <xdr:col>0</xdr:col>
                    <xdr:colOff>1889760</xdr:colOff>
                    <xdr:row>4</xdr:row>
                    <xdr:rowOff>213360</xdr:rowOff>
                  </to>
                </anchor>
              </controlPr>
            </control>
          </mc:Choice>
        </mc:AlternateContent>
        <mc:AlternateContent xmlns:mc="http://schemas.openxmlformats.org/markup-compatibility/2006">
          <mc:Choice Requires="x14">
            <control shapeId="2052" r:id="rId5" name="Button 4">
              <controlPr defaultSize="0" print="0" autoFill="0" autoPict="0" macro="[0]!另存調閱清單">
                <anchor moveWithCells="1" sizeWithCells="1">
                  <from>
                    <xdr:col>0</xdr:col>
                    <xdr:colOff>68580</xdr:colOff>
                    <xdr:row>5</xdr:row>
                    <xdr:rowOff>266700</xdr:rowOff>
                  </from>
                  <to>
                    <xdr:col>0</xdr:col>
                    <xdr:colOff>1866900</xdr:colOff>
                    <xdr:row>8</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另存稽核報告">
                <anchor moveWithCells="1" sizeWithCells="1">
                  <from>
                    <xdr:col>0</xdr:col>
                    <xdr:colOff>83820</xdr:colOff>
                    <xdr:row>12</xdr:row>
                    <xdr:rowOff>22860</xdr:rowOff>
                  </from>
                  <to>
                    <xdr:col>0</xdr:col>
                    <xdr:colOff>1889760</xdr:colOff>
                    <xdr:row>13</xdr:row>
                    <xdr:rowOff>266700</xdr:rowOff>
                  </to>
                </anchor>
              </controlPr>
            </control>
          </mc:Choice>
        </mc:AlternateContent>
        <mc:AlternateContent xmlns:mc="http://schemas.openxmlformats.org/markup-compatibility/2006">
          <mc:Choice Requires="x14">
            <control shapeId="2055" r:id="rId7" name="Button 7">
              <controlPr defaultSize="0" print="0" autoFill="0" autoPict="0" macro="[0]!產出工作底稿">
                <anchor moveWithCells="1" sizeWithCells="1">
                  <from>
                    <xdr:col>0</xdr:col>
                    <xdr:colOff>68580</xdr:colOff>
                    <xdr:row>9</xdr:row>
                    <xdr:rowOff>213360</xdr:rowOff>
                  </from>
                  <to>
                    <xdr:col>0</xdr:col>
                    <xdr:colOff>1866900</xdr:colOff>
                    <xdr:row>10</xdr:row>
                    <xdr:rowOff>495300</xdr:rowOff>
                  </to>
                </anchor>
              </controlPr>
            </control>
          </mc:Choice>
        </mc:AlternateContent>
        <mc:AlternateContent xmlns:mc="http://schemas.openxmlformats.org/markup-compatibility/2006">
          <mc:Choice Requires="x14">
            <control shapeId="2056" r:id="rId8" name="Button 8">
              <controlPr defaultSize="0" print="0" autoFill="0" autoPict="0" macro="[0]!ETL">
                <anchor moveWithCells="1" sizeWithCells="1">
                  <from>
                    <xdr:col>0</xdr:col>
                    <xdr:colOff>121920</xdr:colOff>
                    <xdr:row>15</xdr:row>
                    <xdr:rowOff>144780</xdr:rowOff>
                  </from>
                  <to>
                    <xdr:col>0</xdr:col>
                    <xdr:colOff>1783080</xdr:colOff>
                    <xdr:row>16</xdr:row>
                    <xdr:rowOff>121920</xdr:rowOff>
                  </to>
                </anchor>
              </controlPr>
            </control>
          </mc:Choice>
        </mc:AlternateContent>
      </controls>
    </mc:Choice>
  </mc:AlternateContent>
  <tableParts count="2">
    <tablePart r:id="rId9"/>
    <tablePart r:id="rId10"/>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9D4897C-5600-463D-9E88-F095506C8AF1}">
          <x14:formula1>
            <xm:f>Temporary!$D$19:$D$20</xm:f>
          </x14:formula1>
          <xm:sqref>D10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4F53D-76DB-4D3D-816C-875D9D5FB1E8}">
  <sheetPr codeName="工作表8"/>
  <dimension ref="A1:Y32"/>
  <sheetViews>
    <sheetView workbookViewId="0">
      <selection sqref="A1:B1048576"/>
    </sheetView>
  </sheetViews>
  <sheetFormatPr defaultRowHeight="16.2" x14ac:dyDescent="0.3"/>
  <cols>
    <col min="1" max="1" width="25.88671875" style="13" bestFit="1" customWidth="1"/>
    <col min="2" max="2" width="134.109375" style="13" bestFit="1" customWidth="1"/>
    <col min="3" max="3" width="8.88671875" style="13"/>
    <col min="4" max="4" width="41.5546875" style="11" customWidth="1"/>
    <col min="5" max="5" width="8.88671875" style="13"/>
    <col min="6" max="6" width="19.33203125" style="13" bestFit="1" customWidth="1"/>
    <col min="7" max="7" width="52.33203125" style="13" bestFit="1" customWidth="1"/>
    <col min="8" max="8" width="58.33203125" style="13" bestFit="1" customWidth="1"/>
    <col min="9" max="9" width="23.33203125" style="13" bestFit="1" customWidth="1"/>
    <col min="10" max="10" width="7.77734375" style="13" bestFit="1" customWidth="1"/>
    <col min="11" max="11" width="25.6640625" style="13" bestFit="1" customWidth="1"/>
    <col min="12" max="12" width="9" style="13" customWidth="1"/>
    <col min="13" max="13" width="8.88671875" style="13"/>
    <col min="14" max="14" width="10.44140625" style="13" bestFit="1" customWidth="1"/>
    <col min="15" max="18" width="8.88671875" style="13"/>
    <col min="19" max="19" width="8.88671875" style="38"/>
    <col min="20" max="16384" width="8.88671875" style="13"/>
  </cols>
  <sheetData>
    <row r="1" spans="1:25" x14ac:dyDescent="0.3">
      <c r="A1" s="77" t="s">
        <v>23</v>
      </c>
      <c r="B1" s="77" t="s">
        <v>3</v>
      </c>
      <c r="C1"/>
    </row>
    <row r="2" spans="1:25" ht="16.8" thickBot="1" x14ac:dyDescent="0.35">
      <c r="A2" t="s">
        <v>119</v>
      </c>
      <c r="B2"/>
      <c r="C2"/>
    </row>
    <row r="3" spans="1:25" ht="16.8" thickBot="1" x14ac:dyDescent="0.35">
      <c r="A3"/>
      <c r="B3" t="s">
        <v>103</v>
      </c>
      <c r="C3"/>
      <c r="N3" s="28" t="s">
        <v>86</v>
      </c>
      <c r="V3" s="13" t="s">
        <v>159</v>
      </c>
    </row>
    <row r="4" spans="1:25" ht="16.8" thickBot="1" x14ac:dyDescent="0.35">
      <c r="A4"/>
      <c r="B4" t="s">
        <v>102</v>
      </c>
      <c r="C4"/>
      <c r="D4" s="11" t="s">
        <v>45</v>
      </c>
      <c r="F4" t="s">
        <v>43</v>
      </c>
      <c r="G4" s="13" t="s">
        <v>27</v>
      </c>
      <c r="H4" s="13" t="s">
        <v>29</v>
      </c>
      <c r="I4" s="13" t="s">
        <v>40</v>
      </c>
      <c r="J4"/>
      <c r="K4" s="13" t="s">
        <v>25</v>
      </c>
      <c r="N4" s="29" t="s">
        <v>70</v>
      </c>
      <c r="O4" s="30" t="s">
        <v>71</v>
      </c>
      <c r="P4" s="30" t="s">
        <v>72</v>
      </c>
      <c r="Q4" s="30" t="s">
        <v>73</v>
      </c>
      <c r="R4" s="30" t="s">
        <v>67</v>
      </c>
      <c r="S4" s="41" t="s">
        <v>74</v>
      </c>
      <c r="T4" s="31" t="s">
        <v>93</v>
      </c>
      <c r="V4" s="13" t="s">
        <v>161</v>
      </c>
      <c r="W4" s="13" t="s">
        <v>162</v>
      </c>
      <c r="X4" s="13" t="s">
        <v>164</v>
      </c>
      <c r="Y4" s="13" t="s">
        <v>165</v>
      </c>
    </row>
    <row r="5" spans="1:25" x14ac:dyDescent="0.3">
      <c r="A5"/>
      <c r="B5" t="s">
        <v>22</v>
      </c>
      <c r="C5"/>
      <c r="D5" s="25" t="s">
        <v>53</v>
      </c>
      <c r="F5" t="s">
        <v>107</v>
      </c>
      <c r="G5" t="s">
        <v>184</v>
      </c>
      <c r="H5" s="13" t="s">
        <v>185</v>
      </c>
      <c r="I5" s="13" t="s">
        <v>186</v>
      </c>
      <c r="J5"/>
      <c r="K5" s="13" t="s">
        <v>117</v>
      </c>
      <c r="N5" s="33" t="s">
        <v>65</v>
      </c>
      <c r="O5" s="33" t="s">
        <v>66</v>
      </c>
      <c r="P5" s="33" t="s">
        <v>75</v>
      </c>
      <c r="Q5" s="33" t="s">
        <v>76</v>
      </c>
      <c r="R5" s="33" t="s">
        <v>54</v>
      </c>
      <c r="S5" s="39">
        <v>1</v>
      </c>
      <c r="T5" s="33" t="s">
        <v>94</v>
      </c>
      <c r="V5" s="4" t="s">
        <v>160</v>
      </c>
      <c r="W5" s="4" t="s">
        <v>172</v>
      </c>
      <c r="X5" s="13">
        <v>5</v>
      </c>
      <c r="Y5" s="13">
        <v>22</v>
      </c>
    </row>
    <row r="6" spans="1:25" x14ac:dyDescent="0.3">
      <c r="A6"/>
      <c r="B6" t="s">
        <v>121</v>
      </c>
      <c r="C6"/>
      <c r="D6" s="26">
        <f ca="1">YEAR(TODAY())-1911</f>
        <v>111</v>
      </c>
      <c r="F6"/>
      <c r="G6" t="s">
        <v>187</v>
      </c>
      <c r="H6" s="13" t="s">
        <v>188</v>
      </c>
      <c r="J6"/>
      <c r="K6" s="13" t="s">
        <v>119</v>
      </c>
      <c r="N6" s="32" t="s">
        <v>65</v>
      </c>
      <c r="O6" s="32" t="s">
        <v>66</v>
      </c>
      <c r="P6" s="32" t="s">
        <v>75</v>
      </c>
      <c r="Q6" s="32" t="s">
        <v>76</v>
      </c>
      <c r="R6" s="32" t="s">
        <v>55</v>
      </c>
      <c r="S6" s="40">
        <v>2</v>
      </c>
      <c r="T6" s="33" t="s">
        <v>94</v>
      </c>
      <c r="V6" s="13" t="s">
        <v>163</v>
      </c>
      <c r="W6" s="13" t="s">
        <v>173</v>
      </c>
      <c r="X6" s="13">
        <v>10</v>
      </c>
      <c r="Y6" s="13">
        <v>23</v>
      </c>
    </row>
    <row r="7" spans="1:25" ht="32.4" x14ac:dyDescent="0.3">
      <c r="A7"/>
      <c r="B7" t="s">
        <v>123</v>
      </c>
      <c r="C7"/>
      <c r="D7" s="26" t="s">
        <v>42</v>
      </c>
      <c r="F7"/>
      <c r="G7" t="s">
        <v>189</v>
      </c>
      <c r="H7" s="13" t="s">
        <v>190</v>
      </c>
      <c r="J7"/>
      <c r="N7" s="32" t="s">
        <v>65</v>
      </c>
      <c r="O7" s="32" t="s">
        <v>66</v>
      </c>
      <c r="P7" s="32" t="s">
        <v>75</v>
      </c>
      <c r="Q7" s="32" t="s">
        <v>76</v>
      </c>
      <c r="R7" s="32" t="s">
        <v>56</v>
      </c>
      <c r="S7" s="40">
        <v>3</v>
      </c>
      <c r="T7" s="33" t="s">
        <v>94</v>
      </c>
      <c r="V7" s="13" t="s">
        <v>174</v>
      </c>
      <c r="W7" s="13" t="s">
        <v>175</v>
      </c>
    </row>
    <row r="8" spans="1:25" ht="32.4" x14ac:dyDescent="0.3">
      <c r="A8" t="s">
        <v>117</v>
      </c>
      <c r="B8"/>
      <c r="C8"/>
      <c r="D8" s="26" t="str">
        <f>_xlfn.TEXTJOIN("、",1,作業清單[作業清單])</f>
        <v>通路商付款及入帳作業、委外管理作業管理</v>
      </c>
      <c r="F8"/>
      <c r="G8" t="s">
        <v>191</v>
      </c>
      <c r="J8"/>
      <c r="N8" s="32" t="s">
        <v>65</v>
      </c>
      <c r="O8" s="32" t="s">
        <v>66</v>
      </c>
      <c r="P8" s="32" t="s">
        <v>75</v>
      </c>
      <c r="Q8" s="32" t="s">
        <v>76</v>
      </c>
      <c r="R8" s="32" t="s">
        <v>57</v>
      </c>
      <c r="S8" s="40">
        <v>4</v>
      </c>
      <c r="T8" s="33" t="s">
        <v>94</v>
      </c>
      <c r="V8" s="13" t="s">
        <v>177</v>
      </c>
      <c r="W8" s="13" t="s">
        <v>176</v>
      </c>
    </row>
    <row r="9" spans="1:25" x14ac:dyDescent="0.3">
      <c r="A9"/>
      <c r="B9" t="s">
        <v>101</v>
      </c>
      <c r="C9"/>
      <c r="D9" s="26" t="s">
        <v>26</v>
      </c>
      <c r="F9"/>
      <c r="G9" t="s">
        <v>192</v>
      </c>
      <c r="J9"/>
      <c r="N9" s="32" t="s">
        <v>65</v>
      </c>
      <c r="O9" s="32" t="s">
        <v>66</v>
      </c>
      <c r="P9" s="32" t="s">
        <v>75</v>
      </c>
      <c r="Q9" s="32" t="s">
        <v>76</v>
      </c>
      <c r="R9" s="32" t="s">
        <v>58</v>
      </c>
      <c r="S9" s="40">
        <v>5</v>
      </c>
      <c r="T9" s="33" t="s">
        <v>94</v>
      </c>
      <c r="V9" s="13" t="s">
        <v>178</v>
      </c>
      <c r="W9" s="13" t="s">
        <v>179</v>
      </c>
    </row>
    <row r="10" spans="1:25" ht="64.8" x14ac:dyDescent="0.3">
      <c r="A10"/>
      <c r="B10" t="s">
        <v>98</v>
      </c>
      <c r="C10"/>
      <c r="D10" s="24" t="str">
        <f>_xlfn.TEXTJOIN("、",1,引用法規[外部法規])</f>
        <v>「電子支付機構資訊系統標準及安全控管作業基準」、「金融機構提供行動裝置應用程式作業規範」、「金融機構運用新興科技作業規範」</v>
      </c>
      <c r="F10"/>
      <c r="G10" t="s">
        <v>193</v>
      </c>
      <c r="J10"/>
      <c r="N10" s="32" t="s">
        <v>65</v>
      </c>
      <c r="O10" s="32" t="s">
        <v>66</v>
      </c>
      <c r="P10" s="32" t="s">
        <v>75</v>
      </c>
      <c r="Q10" s="32" t="s">
        <v>76</v>
      </c>
      <c r="R10" s="32" t="s">
        <v>59</v>
      </c>
      <c r="S10" s="40">
        <v>6</v>
      </c>
      <c r="T10" s="33" t="s">
        <v>94</v>
      </c>
      <c r="V10" s="13" t="s">
        <v>181</v>
      </c>
      <c r="W10" s="13" t="s">
        <v>180</v>
      </c>
    </row>
    <row r="11" spans="1:25" x14ac:dyDescent="0.3">
      <c r="A11"/>
      <c r="B11" t="s">
        <v>99</v>
      </c>
      <c r="C11"/>
      <c r="D11" s="26" t="s">
        <v>34</v>
      </c>
      <c r="F11"/>
      <c r="G11" t="s">
        <v>194</v>
      </c>
      <c r="J11"/>
      <c r="N11" s="32" t="s">
        <v>65</v>
      </c>
      <c r="O11" s="32" t="s">
        <v>66</v>
      </c>
      <c r="P11" s="32" t="s">
        <v>75</v>
      </c>
      <c r="Q11" s="32" t="s">
        <v>76</v>
      </c>
      <c r="R11" s="32" t="s">
        <v>60</v>
      </c>
      <c r="S11" s="40">
        <v>7</v>
      </c>
      <c r="T11" s="33" t="s">
        <v>94</v>
      </c>
    </row>
    <row r="12" spans="1:25" x14ac:dyDescent="0.3">
      <c r="A12"/>
      <c r="B12" t="s">
        <v>100</v>
      </c>
      <c r="C12"/>
      <c r="D12" s="26" t="s">
        <v>35</v>
      </c>
      <c r="F12"/>
      <c r="G12" t="s">
        <v>195</v>
      </c>
      <c r="J12"/>
      <c r="N12" s="32" t="s">
        <v>65</v>
      </c>
      <c r="O12" s="32" t="s">
        <v>66</v>
      </c>
      <c r="P12" s="32" t="s">
        <v>75</v>
      </c>
      <c r="Q12" s="32" t="s">
        <v>76</v>
      </c>
      <c r="R12" s="32" t="s">
        <v>61</v>
      </c>
      <c r="S12" s="40">
        <v>8</v>
      </c>
      <c r="T12" s="33" t="s">
        <v>94</v>
      </c>
    </row>
    <row r="13" spans="1:25" x14ac:dyDescent="0.3">
      <c r="A13"/>
      <c r="B13" t="s">
        <v>97</v>
      </c>
      <c r="C13"/>
      <c r="D13" s="24" t="str">
        <f>_xlfn.TEXTJOIN("、",1,引用法規[查核循環])</f>
        <v>「營收及收款循環」</v>
      </c>
      <c r="N13" s="32" t="s">
        <v>65</v>
      </c>
      <c r="O13" s="32" t="s">
        <v>66</v>
      </c>
      <c r="P13" s="32" t="s">
        <v>75</v>
      </c>
      <c r="Q13" s="32" t="s">
        <v>76</v>
      </c>
      <c r="R13" s="32" t="s">
        <v>62</v>
      </c>
      <c r="S13" s="40">
        <v>9</v>
      </c>
      <c r="T13" s="33" t="s">
        <v>94</v>
      </c>
    </row>
    <row r="14" spans="1:25" ht="33" thickBot="1" x14ac:dyDescent="0.35">
      <c r="A14"/>
      <c r="B14"/>
      <c r="C14"/>
      <c r="D14" s="27" t="s">
        <v>36</v>
      </c>
      <c r="N14" s="32" t="s">
        <v>65</v>
      </c>
      <c r="O14" s="32" t="s">
        <v>66</v>
      </c>
      <c r="P14" s="32" t="s">
        <v>75</v>
      </c>
      <c r="Q14" s="32" t="s">
        <v>76</v>
      </c>
      <c r="R14" s="32" t="s">
        <v>63</v>
      </c>
      <c r="S14" s="40">
        <v>10</v>
      </c>
      <c r="T14" s="33" t="s">
        <v>94</v>
      </c>
    </row>
    <row r="15" spans="1:25" x14ac:dyDescent="0.3">
      <c r="A15"/>
      <c r="B15"/>
      <c r="C15"/>
      <c r="N15" s="32" t="s">
        <v>65</v>
      </c>
      <c r="O15" s="32" t="s">
        <v>66</v>
      </c>
      <c r="P15" s="32" t="s">
        <v>75</v>
      </c>
      <c r="Q15" s="32" t="s">
        <v>76</v>
      </c>
      <c r="R15" s="32" t="s">
        <v>64</v>
      </c>
      <c r="S15" s="40">
        <v>11</v>
      </c>
      <c r="T15" s="33" t="s">
        <v>94</v>
      </c>
    </row>
    <row r="16" spans="1:25" ht="16.8" thickBot="1" x14ac:dyDescent="0.35">
      <c r="A16"/>
      <c r="B16"/>
      <c r="C16"/>
      <c r="D16" s="11" t="s">
        <v>44</v>
      </c>
      <c r="N16" s="32" t="s">
        <v>65</v>
      </c>
      <c r="O16" s="32" t="s">
        <v>66</v>
      </c>
      <c r="P16" s="32" t="s">
        <v>75</v>
      </c>
      <c r="Q16" s="32" t="s">
        <v>76</v>
      </c>
      <c r="R16" s="32" t="s">
        <v>77</v>
      </c>
      <c r="S16" s="40">
        <v>12</v>
      </c>
      <c r="T16" s="33" t="s">
        <v>94</v>
      </c>
    </row>
    <row r="17" spans="1:20" ht="178.8" thickBot="1" x14ac:dyDescent="0.35">
      <c r="A17"/>
      <c r="B17"/>
      <c r="C17"/>
      <c r="D17" s="23" t="str">
        <f ca="1">_xlfn.CONCAT(D5:D14)</f>
        <v xml:space="preserve">    本次查核為辦理本公司111年度稽核計畫中技術部之一般查核，查核項目：通路商付款及入帳作業、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營收及收款循環」 等主要規範進行查核，相關查核作業項目及重點說明如下:</v>
      </c>
      <c r="N17" s="32" t="s">
        <v>65</v>
      </c>
      <c r="O17" s="32" t="s">
        <v>66</v>
      </c>
      <c r="P17" s="32" t="s">
        <v>75</v>
      </c>
      <c r="Q17" s="32" t="s">
        <v>76</v>
      </c>
      <c r="R17" s="32" t="s">
        <v>78</v>
      </c>
      <c r="S17" s="40">
        <v>13</v>
      </c>
      <c r="T17" s="33" t="s">
        <v>94</v>
      </c>
    </row>
    <row r="18" spans="1:20" x14ac:dyDescent="0.3">
      <c r="A18"/>
      <c r="B18"/>
      <c r="C18"/>
      <c r="N18" s="32" t="s">
        <v>65</v>
      </c>
      <c r="O18" s="32" t="s">
        <v>66</v>
      </c>
      <c r="P18" s="32" t="s">
        <v>75</v>
      </c>
      <c r="Q18" s="32" t="s">
        <v>76</v>
      </c>
      <c r="R18" s="32" t="s">
        <v>79</v>
      </c>
      <c r="S18" s="40">
        <v>14</v>
      </c>
      <c r="T18" s="33" t="s">
        <v>94</v>
      </c>
    </row>
    <row r="19" spans="1:20" x14ac:dyDescent="0.3">
      <c r="D19" s="11" t="b">
        <v>1</v>
      </c>
      <c r="N19" s="32" t="s">
        <v>65</v>
      </c>
      <c r="O19" s="32" t="s">
        <v>66</v>
      </c>
      <c r="P19" s="32" t="s">
        <v>75</v>
      </c>
      <c r="Q19" s="32" t="s">
        <v>76</v>
      </c>
      <c r="R19" s="32" t="s">
        <v>80</v>
      </c>
      <c r="S19" s="40">
        <v>15</v>
      </c>
      <c r="T19" s="33" t="s">
        <v>94</v>
      </c>
    </row>
    <row r="20" spans="1:20" x14ac:dyDescent="0.3">
      <c r="D20" s="11" t="b">
        <v>0</v>
      </c>
      <c r="N20" s="32" t="s">
        <v>65</v>
      </c>
      <c r="O20" s="32" t="s">
        <v>66</v>
      </c>
      <c r="P20" s="32" t="s">
        <v>75</v>
      </c>
      <c r="Q20" s="32" t="s">
        <v>76</v>
      </c>
      <c r="R20" s="32" t="s">
        <v>81</v>
      </c>
      <c r="S20" s="40">
        <v>16</v>
      </c>
      <c r="T20" s="33" t="s">
        <v>94</v>
      </c>
    </row>
    <row r="21" spans="1:20" x14ac:dyDescent="0.3">
      <c r="N21" s="32" t="s">
        <v>65</v>
      </c>
      <c r="O21" s="32" t="s">
        <v>66</v>
      </c>
      <c r="P21" s="32" t="s">
        <v>75</v>
      </c>
      <c r="Q21" s="32" t="s">
        <v>76</v>
      </c>
      <c r="R21" s="32" t="s">
        <v>82</v>
      </c>
      <c r="S21" s="40">
        <v>17</v>
      </c>
      <c r="T21" s="33" t="s">
        <v>94</v>
      </c>
    </row>
    <row r="22" spans="1:20" x14ac:dyDescent="0.3">
      <c r="D22" s="11" t="s">
        <v>151</v>
      </c>
      <c r="N22" s="32" t="s">
        <v>65</v>
      </c>
      <c r="O22" s="32" t="s">
        <v>66</v>
      </c>
      <c r="P22" s="32" t="s">
        <v>75</v>
      </c>
      <c r="Q22" s="32" t="s">
        <v>76</v>
      </c>
      <c r="R22" s="32" t="s">
        <v>83</v>
      </c>
      <c r="S22" s="40">
        <v>18</v>
      </c>
      <c r="T22" s="33" t="s">
        <v>94</v>
      </c>
    </row>
    <row r="23" spans="1:20" x14ac:dyDescent="0.3">
      <c r="D23" s="11" t="s">
        <v>52</v>
      </c>
      <c r="N23" s="32" t="s">
        <v>65</v>
      </c>
      <c r="O23" s="32" t="s">
        <v>66</v>
      </c>
      <c r="P23" s="32" t="s">
        <v>75</v>
      </c>
      <c r="Q23" s="32" t="s">
        <v>76</v>
      </c>
      <c r="R23" s="32" t="s">
        <v>84</v>
      </c>
      <c r="S23" s="40">
        <v>19</v>
      </c>
      <c r="T23" s="33" t="s">
        <v>94</v>
      </c>
    </row>
    <row r="24" spans="1:20" x14ac:dyDescent="0.3">
      <c r="N24" s="32" t="s">
        <v>65</v>
      </c>
      <c r="O24" s="32" t="s">
        <v>66</v>
      </c>
      <c r="P24" s="32" t="s">
        <v>75</v>
      </c>
      <c r="Q24" s="32" t="s">
        <v>76</v>
      </c>
      <c r="R24" s="32" t="s">
        <v>85</v>
      </c>
      <c r="S24" s="40">
        <v>20</v>
      </c>
      <c r="T24" s="33" t="s">
        <v>94</v>
      </c>
    </row>
    <row r="26" spans="1:20" ht="32.4" x14ac:dyDescent="0.3">
      <c r="D26" s="11" t="s">
        <v>8</v>
      </c>
    </row>
    <row r="27" spans="1:20" ht="32.4" x14ac:dyDescent="0.3">
      <c r="D27" s="11" t="s">
        <v>49</v>
      </c>
    </row>
    <row r="30" spans="1:20" ht="16.8" thickBot="1" x14ac:dyDescent="0.35"/>
    <row r="31" spans="1:20" ht="16.8" thickBot="1" x14ac:dyDescent="0.35">
      <c r="D31" s="23" t="s">
        <v>68</v>
      </c>
    </row>
    <row r="32" spans="1:20" ht="409.6" x14ac:dyDescent="0.3">
      <c r="D32" s="11" t="str">
        <f>報告藍本!G3</f>
        <v>依據「代收金流儲值服務契約書」第六條第六項「甲方對乙方有進行定期審查之權利，定期執行實地查核，確認乙方及其人員無法藉由繳款資料取得或辨識使用者之身分證字號、帳號及其他相關個人資料，以避免使用者資料外洩，並評估其是否符合各項相關規定或由乙方提出定期稽核報告供甲方評估內控落實情形。」，另依「個人資料保護管理辦法」第五條第十二項第二款第一目「為釐清本公司與其委外廠商之責任歸屬，本公司將對委外廠商採取適當之監督，以確保委託處理個人資料之安全管理。」，根據訪談，目前尚未執行相關查核作業。
依據「電子支付業務交易訊息整合傳遞服務與合作機構契約書」，第三條第六項「甲方應整合及確保本服務正常運作，包含進行本服務（含軟、硬體）之安裝測試、維護、訓練等作業，並依前項安控標準確保交易資訊之隱密性、安全性、資料傳遞、交易或處理之正確性。」，並依「第三方服務資訊安全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而經訪談專案負責人，目前並未執行相關查核作業。
經查核「代收金流儲值服務契約書」，以新台幣現金繳納支付款項作業委外由全聯實業股份有限公司代為辦理由訪談得知，近期原專案負責人離職，該專案尚未完整交接，目前無過去相關資料，且尚未規劃委外廠商查核計畫。
「電子支付業務交易訊息整合傳遞服務」委託台新國際商業銀行承辦，訪談得知，近期因原專案負責人離職，該專案尚未完整交接，目前無過去相關資料，且尚未規劃委外廠商查核計畫。
依「第三方服務資訊安全管理辦法」第三條第三項第二款「應負責監督委外廠商對於相關資訊安全管控要求的落實與遵守，若委外廠商或其人員，違反或未遵守時，應向委外廠商提出警示。」，本次查核包含「電子支付業務交易訊息整合傳遞服務」及「代收金流儲值服務」未依前列之作業辦法執行。
經調閱特約機構之合約，並向財務部調閱傳票、憑證及交易明細，對於交易金額及手續費進行驗算，交易均為正確。另外，此部分交易皆由系統自動計算費用、立帳及沖帳並開立發票。
經詢問並調閱5家商戶之傳票、發票、請款報表及合約，符合「會計制度」第六章第一條第一款「主要業務會計處理程序」、IFRS15號「公報客戶合約之收入」之認列、衡量及合約內訂定之手續費費率。
經訪談，系統每日進行比對作業，由財務人員核對其結果、銀行存款會計科目餘額及實際銀行存款餘額正確後，執行系統拋轉傳票。</v>
      </c>
    </row>
  </sheetData>
  <phoneticPr fontId="1" type="noConversion"/>
  <pageMargins left="0.7" right="0.7" top="0.75" bottom="0.75" header="0.3" footer="0.3"/>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F763-ABD0-4952-B379-7078C9D8DA57}">
  <sheetPr codeName="工作表9"/>
  <dimension ref="A1:B11"/>
  <sheetViews>
    <sheetView workbookViewId="0">
      <selection sqref="A1:B11"/>
    </sheetView>
  </sheetViews>
  <sheetFormatPr defaultRowHeight="34.200000000000003" customHeight="1" x14ac:dyDescent="0.3"/>
  <cols>
    <col min="1" max="1" width="8.88671875" style="78"/>
    <col min="2" max="16384" width="8.88671875" style="14"/>
  </cols>
  <sheetData>
    <row r="1" spans="1:2" s="15" customFormat="1" ht="34.200000000000003" customHeight="1" x14ac:dyDescent="0.3">
      <c r="A1" s="15" t="s">
        <v>23</v>
      </c>
      <c r="B1" s="15" t="s">
        <v>3</v>
      </c>
    </row>
    <row r="2" spans="1:2" ht="34.200000000000003" customHeight="1" x14ac:dyDescent="0.3">
      <c r="A2" s="84" t="s">
        <v>119</v>
      </c>
      <c r="B2" s="14" t="s">
        <v>103</v>
      </c>
    </row>
    <row r="3" spans="1:2" ht="34.200000000000003" customHeight="1" x14ac:dyDescent="0.3">
      <c r="A3" s="84"/>
      <c r="B3" s="14" t="s">
        <v>102</v>
      </c>
    </row>
    <row r="4" spans="1:2" ht="34.200000000000003" customHeight="1" x14ac:dyDescent="0.3">
      <c r="A4" s="84"/>
      <c r="B4" s="14" t="s">
        <v>22</v>
      </c>
    </row>
    <row r="5" spans="1:2" ht="34.200000000000003" customHeight="1" x14ac:dyDescent="0.3">
      <c r="A5" s="84"/>
      <c r="B5" s="14" t="s">
        <v>121</v>
      </c>
    </row>
    <row r="6" spans="1:2" ht="34.200000000000003" customHeight="1" x14ac:dyDescent="0.3">
      <c r="A6" s="84"/>
      <c r="B6" s="14" t="s">
        <v>123</v>
      </c>
    </row>
    <row r="7" spans="1:2" ht="34.200000000000003" customHeight="1" x14ac:dyDescent="0.3">
      <c r="A7" s="84" t="s">
        <v>117</v>
      </c>
      <c r="B7" s="14" t="s">
        <v>101</v>
      </c>
    </row>
    <row r="8" spans="1:2" ht="34.200000000000003" customHeight="1" x14ac:dyDescent="0.3">
      <c r="A8" s="84"/>
      <c r="B8" s="14" t="s">
        <v>98</v>
      </c>
    </row>
    <row r="9" spans="1:2" ht="34.200000000000003" customHeight="1" x14ac:dyDescent="0.3">
      <c r="A9" s="84"/>
      <c r="B9" s="14" t="s">
        <v>99</v>
      </c>
    </row>
    <row r="10" spans="1:2" ht="34.200000000000003" customHeight="1" x14ac:dyDescent="0.3">
      <c r="A10" s="84"/>
      <c r="B10" s="14" t="s">
        <v>100</v>
      </c>
    </row>
    <row r="11" spans="1:2" ht="34.200000000000003" customHeight="1" x14ac:dyDescent="0.3">
      <c r="A11" s="84"/>
      <c r="B11" s="14" t="s">
        <v>97</v>
      </c>
    </row>
  </sheetData>
  <mergeCells count="2">
    <mergeCell ref="A7:A11"/>
    <mergeCell ref="A2:A6"/>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110B3-82FD-4917-98EA-E4562140D71A}">
  <sheetPr codeName="工作表5">
    <tabColor rgb="FFFFFF00"/>
  </sheetPr>
  <dimension ref="A1:P21"/>
  <sheetViews>
    <sheetView topLeftCell="A8" workbookViewId="0">
      <selection activeCell="D11" sqref="D11"/>
    </sheetView>
  </sheetViews>
  <sheetFormatPr defaultRowHeight="16.2" x14ac:dyDescent="0.3"/>
  <cols>
    <col min="1" max="1" width="22.109375" style="34" customWidth="1"/>
    <col min="2" max="2" width="18.5546875" style="34" customWidth="1"/>
    <col min="3" max="3" width="27.77734375" style="34" customWidth="1"/>
    <col min="4" max="4" width="70" style="34" customWidth="1"/>
    <col min="5" max="5" width="56.109375" style="35" customWidth="1"/>
    <col min="6" max="6" width="16.5546875" customWidth="1"/>
    <col min="7" max="12" width="8.88671875" style="13"/>
    <col min="14" max="14" width="42.77734375" style="65" bestFit="1" customWidth="1"/>
    <col min="15" max="15" width="45.109375" style="65" bestFit="1" customWidth="1"/>
    <col min="16" max="16" width="83.5546875" bestFit="1" customWidth="1"/>
  </cols>
  <sheetData>
    <row r="1" spans="1:16" s="69" customFormat="1" ht="22.8" thickBot="1" x14ac:dyDescent="0.35">
      <c r="A1" s="67" t="s">
        <v>69</v>
      </c>
      <c r="B1" s="68"/>
      <c r="C1" s="68"/>
      <c r="D1" s="68"/>
      <c r="E1" s="66" t="s">
        <v>92</v>
      </c>
      <c r="G1" s="97" t="s">
        <v>91</v>
      </c>
      <c r="H1" s="98"/>
      <c r="I1" s="98"/>
      <c r="J1" s="98"/>
      <c r="K1" s="98"/>
      <c r="L1" s="99"/>
      <c r="N1" s="100" t="s">
        <v>145</v>
      </c>
      <c r="O1" s="101"/>
    </row>
    <row r="2" spans="1:16" ht="16.8" thickBot="1" x14ac:dyDescent="0.35">
      <c r="A2" s="34" t="s">
        <v>20</v>
      </c>
      <c r="B2" s="34" t="s">
        <v>89</v>
      </c>
      <c r="C2" s="34" t="s">
        <v>21</v>
      </c>
      <c r="D2" s="34" t="s">
        <v>87</v>
      </c>
      <c r="E2" s="35" t="s">
        <v>88</v>
      </c>
      <c r="G2" s="85" t="s">
        <v>90</v>
      </c>
      <c r="H2" s="86"/>
      <c r="I2" s="86"/>
      <c r="J2" s="86"/>
      <c r="K2" s="86"/>
      <c r="L2" s="87"/>
      <c r="N2" s="59" t="s">
        <v>126</v>
      </c>
      <c r="O2" s="60" t="s">
        <v>127</v>
      </c>
      <c r="P2" t="str">
        <f>_xlfn.CONCAT(報告藍本!N2:O2)</f>
        <v>二、  財務狀況：不適用。</v>
      </c>
    </row>
    <row r="3" spans="1:16" ht="135" x14ac:dyDescent="0.3">
      <c r="A3" s="75"/>
      <c r="B3" s="36">
        <v>1</v>
      </c>
      <c r="C3" s="36" t="str">
        <f>工作底稿!B5</f>
        <v>本公司代收以新臺幣繳納儲值款項作業委外之管理，是否符合相關規範辦理。</v>
      </c>
      <c r="D3" s="36" t="str">
        <f>工作底稿!F5</f>
        <v>以新台幣現金繳納支付款項作業，經查核「代收金流儲值服務契約書」第六條第六項「甲方對乙方有進行定期審查之權利，定期執行實地查核，確認乙方及其人員無法藉由繳款資料取得或辨識使用者之身分證字號、帳號及其他相關個人資料，以避免使用者資料外洩，並評估其是否符合各項相關規定或由乙方提出定期稽核報告供甲方評估內控落實情形。」，另依「個人資料保護管理辦法」第五條第十二項第二款第一目「為釐清本公司與其委外廠商之責任歸屬，本公司將對委外廠商採取適當之監督，以確保委託處理個人資料之安全管理。」，具訪談，目前尚未執行相關查核作業。</v>
      </c>
      <c r="E3" s="37" t="s">
        <v>214</v>
      </c>
      <c r="G3" s="88" t="str">
        <f>_xlfn.TEXTJOIN(CHAR(10),1,表格9[報告內容])</f>
        <v>依據「代收金流儲值服務契約書」第六條第六項「甲方對乙方有進行定期審查之權利，定期執行實地查核，確認乙方及其人員無法藉由繳款資料取得或辨識使用者之身分證字號、帳號及其他相關個人資料，以避免使用者資料外洩，並評估其是否符合各項相關規定或由乙方提出定期稽核報告供甲方評估內控落實情形。」，另依「個人資料保護管理辦法」第五條第十二項第二款第一目「為釐清本公司與其委外廠商之責任歸屬，本公司將對委外廠商採取適當之監督，以確保委託處理個人資料之安全管理。」，根據訪談，目前尚未執行相關查核作業。
依據「電子支付業務交易訊息整合傳遞服務與合作機構契約書」，第三條第六項「甲方應整合及確保本服務正常運作，包含進行本服務（含軟、硬體）之安裝測試、維護、訓練等作業，並依前項安控標準確保交易資訊之隱密性、安全性、資料傳遞、交易或處理之正確性。」，並依「第三方服務資訊安全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而經訪談專案負責人，目前並未執行相關查核作業。
經查核「代收金流儲值服務契約書」，以新台幣現金繳納支付款項作業委外由全聯實業股份有限公司代為辦理由訪談得知，近期原專案負責人離職，該專案尚未完整交接，目前無過去相關資料，且尚未規劃委外廠商查核計畫。
「電子支付業務交易訊息整合傳遞服務」委託台新國際商業銀行承辦，訪談得知，近期因原專案負責人離職，該專案尚未完整交接，目前無過去相關資料，且尚未規劃委外廠商查核計畫。
依「第三方服務資訊安全管理辦法」第三條第三項第二款「應負責監督委外廠商對於相關資訊安全管控要求的落實與遵守，若委外廠商或其人員，違反或未遵守時，應向委外廠商提出警示。」，本次查核包含「電子支付業務交易訊息整合傳遞服務」及「代收金流儲值服務」未依前列之作業辦法執行。
經調閱特約機構之合約，並向財務部調閱傳票、憑證及交易明細，對於交易金額及手續費進行驗算，交易均為正確。另外，此部分交易皆由系統自動計算費用、立帳及沖帳並開立發票。
經詢問並調閱5家商戶之傳票、發票、請款報表及合約，符合「會計制度」第六章第一條第一款「主要業務會計處理程序」、IFRS15號「公報客戶合約之收入」之認列、衡量及合約內訂定之手續費費率。
經訪談，系統每日進行比對作業，由財務人員核對其結果、銀行存款會計科目餘額及實際銀行存款餘額正確後，執行系統拋轉傳票。</v>
      </c>
      <c r="H3" s="89"/>
      <c r="I3" s="89"/>
      <c r="J3" s="89"/>
      <c r="K3" s="89"/>
      <c r="L3" s="90"/>
      <c r="N3" s="61" t="s">
        <v>128</v>
      </c>
      <c r="O3" s="62" t="s">
        <v>127</v>
      </c>
      <c r="P3" t="str">
        <f>_xlfn.CONCAT(報告藍本!N3:O3)</f>
        <v>三、  經營績效：不適用。</v>
      </c>
    </row>
    <row r="4" spans="1:16" ht="150" x14ac:dyDescent="0.3">
      <c r="A4" s="75"/>
      <c r="B4" s="36">
        <v>2</v>
      </c>
      <c r="C4" s="36" t="str">
        <f>工作底稿!B6</f>
        <v>本公司收付訊息處理作業委外之管理，是否符合相關規範辦理。</v>
      </c>
      <c r="D4" s="36" t="str">
        <f>工作底稿!F6</f>
        <v>經查核「電子支付業務交易訊息整合傳遞服務與合作機構契約書」，第三條第六項「甲方應整合及確保本服務正常運作，包含進行本服務（含軟、硬體）之安裝測試、維護、訓練等作業，並依前項安控標準確保交易資訊之隱密性、安全性、資料傳遞、交易或處理之正確性。」，並依「第三方服務資訊安全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而經訪談專案負責人，目前並未執行相關查核作業。</v>
      </c>
      <c r="E4" s="37" t="s">
        <v>212</v>
      </c>
      <c r="G4" s="91"/>
      <c r="H4" s="92"/>
      <c r="I4" s="92"/>
      <c r="J4" s="92"/>
      <c r="K4" s="92"/>
      <c r="L4" s="93"/>
      <c r="N4" s="61" t="s">
        <v>129</v>
      </c>
      <c r="O4" s="62" t="s">
        <v>127</v>
      </c>
      <c r="P4" t="str">
        <f>_xlfn.CONCAT(報告藍本!N4:O4)</f>
        <v>四、  資產品質：不適用。</v>
      </c>
    </row>
    <row r="5" spans="1:16" ht="60" x14ac:dyDescent="0.3">
      <c r="A5" s="75"/>
      <c r="B5" s="36">
        <v>3</v>
      </c>
      <c r="C5" s="36" t="str">
        <f>工作底稿!B7</f>
        <v>有關資訊作業委外相關事項是否依據本公司「第三方服務資訊安全管理辦法」之要求據以執行。</v>
      </c>
      <c r="D5" s="36" t="str">
        <f>工作底稿!F7</f>
        <v>依「第三方服務資訊安全管理辦法」第三條第三項第二款「應負責監督委外廠商對於相關資訊安全管控要求的落實與遵守，若委外廠商或其人員，違反或未遵守時，應向委外廠商提出警示。」，本次查核包含「電子支付業務交易訊息整合傳遞服務」及「代收金流儲值服務」未依前列之作業辦法執行。</v>
      </c>
      <c r="E5" s="37" t="s">
        <v>215</v>
      </c>
      <c r="G5" s="91"/>
      <c r="H5" s="92"/>
      <c r="I5" s="92"/>
      <c r="J5" s="92"/>
      <c r="K5" s="92"/>
      <c r="L5" s="93"/>
      <c r="N5" s="61" t="s">
        <v>130</v>
      </c>
      <c r="O5" s="62" t="s">
        <v>127</v>
      </c>
      <c r="P5" t="str">
        <f>_xlfn.CONCAT(報告藍本!N5:O5)</f>
        <v>五、  董事會議事運作之管理：不適用。</v>
      </c>
    </row>
    <row r="6" spans="1:16" ht="60" x14ac:dyDescent="0.3">
      <c r="A6" s="75"/>
      <c r="B6" s="36">
        <v>4</v>
      </c>
      <c r="C6" s="36" t="str">
        <f>工作底稿!B8</f>
        <v>業務部是否針對該代收以新臺幣繳納儲值款項作業業務至少每半年對受託機構辦理相關檢核作業。</v>
      </c>
      <c r="D6" s="36" t="str">
        <f>工作底稿!F8</f>
        <v>經查核「代收金流儲值服務契約書」，委外由全聯實業股份有限公司代為辦理由訪談得知，近期原專案負責人離職，該專案尚未完整交接，目前無過去相關資料，且尚未規劃未來查核計畫。</v>
      </c>
      <c r="E6" s="37" t="s">
        <v>213</v>
      </c>
      <c r="G6" s="91"/>
      <c r="H6" s="92"/>
      <c r="I6" s="92"/>
      <c r="J6" s="92"/>
      <c r="K6" s="92"/>
      <c r="L6" s="93"/>
      <c r="N6" s="61" t="s">
        <v>131</v>
      </c>
      <c r="O6" s="62" t="s">
        <v>132</v>
      </c>
      <c r="P6" t="str">
        <f>_xlfn.CONCAT(報告藍本!N6:O6)</f>
        <v>六、  法令遵循：尚符合規定。</v>
      </c>
    </row>
    <row r="7" spans="1:16" ht="75" x14ac:dyDescent="0.3">
      <c r="A7" s="75"/>
      <c r="B7" s="36">
        <v>5</v>
      </c>
      <c r="C7" s="36" t="str">
        <f>工作底稿!B9</f>
        <v>業務部是否針對該收付訊息處理作業委外業務至少每半年對受託機構辦理相關檢核作業。</v>
      </c>
      <c r="D7" s="36" t="str">
        <f>工作底稿!F9</f>
        <v>經查核「電子支付業務交易訊息整合傳遞服務與合作機構契約書」，電子支付業務交易訊息整合傳遞服務委外由台新國際商業銀行承辦，由訪談得知，近期因原專案負責人離職，該專案尚未完整交接，目前無過去相關資料，且尚未規劃未來查核計畫。</v>
      </c>
      <c r="E7" s="37" t="s">
        <v>171</v>
      </c>
      <c r="G7" s="91"/>
      <c r="H7" s="92"/>
      <c r="I7" s="92"/>
      <c r="J7" s="92"/>
      <c r="K7" s="92"/>
      <c r="L7" s="93"/>
      <c r="N7" s="61" t="s">
        <v>133</v>
      </c>
      <c r="O7" s="62" t="s">
        <v>132</v>
      </c>
      <c r="P7" t="str">
        <f>_xlfn.CONCAT(報告藍本!N7:O7)</f>
        <v>七、  內部控制：尚符合規定。</v>
      </c>
    </row>
    <row r="8" spans="1:16" ht="174" customHeight="1" x14ac:dyDescent="0.3">
      <c r="A8" s="75"/>
      <c r="B8" s="36">
        <v>6</v>
      </c>
      <c r="C8" s="36" t="str">
        <f>工作底稿!B10</f>
        <v>若有應收帳款因退貨或折讓，是否由業務部開立「應收帳款異動通知申請單」及「客戶退貨申請單」後交由財務部進行帳務處理。</v>
      </c>
      <c r="D8" s="36" t="str">
        <f>工作底稿!F10</f>
        <v>經訪談，一般消費退費將從該月結算手續費中扣除，若跨結算日，則由下個月知會費扣除。若發生特殊事項為業務部營運人員向產品部提出申請，由產品部於系統後台進行更改，再經由財務部主管審核。</v>
      </c>
      <c r="E8" s="37" t="s">
        <v>216</v>
      </c>
      <c r="G8" s="91"/>
      <c r="H8" s="92"/>
      <c r="I8" s="92"/>
      <c r="J8" s="92"/>
      <c r="K8" s="92"/>
      <c r="L8" s="93"/>
      <c r="N8" s="61" t="s">
        <v>134</v>
      </c>
      <c r="O8" s="62" t="s">
        <v>135</v>
      </c>
      <c r="P8" t="str">
        <f>_xlfn.CONCAT(報告藍本!N8:O8)</f>
        <v>八、  各項業務作業控制與內部管理：除下列發現事項外，其餘尚符合相關規定。</v>
      </c>
    </row>
    <row r="9" spans="1:16" ht="95.4" customHeight="1" x14ac:dyDescent="0.3">
      <c r="A9" s="75"/>
      <c r="B9" s="36">
        <v>7</v>
      </c>
      <c r="C9" s="36" t="str">
        <f>工作底稿!B11</f>
        <v>通路商提供之相關憑證內容是否與合約內容相符。</v>
      </c>
      <c r="D9" s="36" t="str">
        <f>工作底稿!F11</f>
        <v>經調閱特約機構之合約，並向財務部調閱傳票、憑證及交易明細，對於交易金額及手續費進行驗算，交易均為正確。另外，此部分交易皆由系統自動計算費用、立帳及沖帳並開立發票。</v>
      </c>
      <c r="E9" s="37" t="s">
        <v>166</v>
      </c>
      <c r="G9" s="91"/>
      <c r="H9" s="92"/>
      <c r="I9" s="92"/>
      <c r="J9" s="92"/>
      <c r="K9" s="92"/>
      <c r="L9" s="93"/>
      <c r="N9" s="61" t="s">
        <v>136</v>
      </c>
      <c r="O9" s="62" t="s">
        <v>127</v>
      </c>
      <c r="P9" t="str">
        <f>_xlfn.CONCAT(報告藍本!N9:O9)</f>
        <v>九、  使用者及特約機構資料保密管理：不適用。</v>
      </c>
    </row>
    <row r="10" spans="1:16" ht="173.4" customHeight="1" x14ac:dyDescent="0.3">
      <c r="A10" s="75"/>
      <c r="B10" s="36">
        <v>8</v>
      </c>
      <c r="C10" s="36" t="str">
        <f>工作底稿!B12</f>
        <v>給付通路商之金額成本認列是否符合相關法規要求。</v>
      </c>
      <c r="D10" s="36" t="str">
        <f>工作底稿!F12</f>
        <v>經詢問並調閱5家商戶之傳票、發票、請款報表及合約，符合「會計制度」第六章第一條第一款「主要業務會計處理程序」、IFRS15號「公報客戶合約之收入」之認列、衡量及合約內訂定之手續費費率。</v>
      </c>
      <c r="E10" s="37" t="s">
        <v>183</v>
      </c>
      <c r="G10" s="91"/>
      <c r="H10" s="92"/>
      <c r="I10" s="92"/>
      <c r="J10" s="92"/>
      <c r="K10" s="92"/>
      <c r="L10" s="93"/>
      <c r="N10" s="61" t="s">
        <v>137</v>
      </c>
      <c r="O10" s="62" t="s">
        <v>135</v>
      </c>
      <c r="P10" t="str">
        <f>_xlfn.CONCAT(報告藍本!N10:O10)</f>
        <v>十、  資訊管理：除下列發現事項外，其餘尚符合相關規定。</v>
      </c>
    </row>
    <row r="11" spans="1:16" ht="45" x14ac:dyDescent="0.3">
      <c r="A11" s="75"/>
      <c r="B11" s="36">
        <v>9</v>
      </c>
      <c r="C11" s="36" t="str">
        <f>工作底稿!B13</f>
        <v>業務部是否提供客戶付款明細供財務部作為沖帳收款之依據。</v>
      </c>
      <c r="D11" s="36" t="str">
        <f>工作底稿!F13</f>
        <v>經訪談，系統每日進行比對作業，由財務人員核對其結果、銀行存款會計科目餘額及實際銀行存款餘額正確後，執行系統拋轉傳票。</v>
      </c>
      <c r="E11" s="37"/>
      <c r="G11" s="91"/>
      <c r="H11" s="92"/>
      <c r="I11" s="92"/>
      <c r="J11" s="92"/>
      <c r="K11" s="92"/>
      <c r="L11" s="93"/>
      <c r="N11" s="61" t="s">
        <v>138</v>
      </c>
      <c r="O11" s="62" t="s">
        <v>132</v>
      </c>
      <c r="P11" t="str">
        <f>_xlfn.CONCAT(報告藍本!N11:O11)</f>
        <v>十一、 員工保密教育：尚符合規定。</v>
      </c>
    </row>
    <row r="12" spans="1:16" ht="92.4" customHeight="1" x14ac:dyDescent="0.3">
      <c r="A12" s="75"/>
      <c r="B12" s="36">
        <v>10</v>
      </c>
      <c r="C12" s="36" t="str">
        <f>工作底稿!B14</f>
        <v>與通路商對帳之資訊是否與實際入帳金額一致。</v>
      </c>
      <c r="D12" s="36" t="str">
        <f>工作底稿!F14</f>
        <v/>
      </c>
      <c r="E12" s="37"/>
      <c r="G12" s="91"/>
      <c r="H12" s="92"/>
      <c r="I12" s="92"/>
      <c r="J12" s="92"/>
      <c r="K12" s="92"/>
      <c r="L12" s="93"/>
      <c r="N12" s="61" t="s">
        <v>139</v>
      </c>
      <c r="O12" s="62" t="s">
        <v>127</v>
      </c>
      <c r="P12" t="str">
        <f>_xlfn.CONCAT(報告藍本!N12:O12)</f>
        <v>十二、 金融消費者權益保護措施：不適用。</v>
      </c>
    </row>
    <row r="13" spans="1:16" ht="16.2" customHeight="1" x14ac:dyDescent="0.3">
      <c r="A13" s="75"/>
      <c r="G13" s="91"/>
      <c r="H13" s="92"/>
      <c r="I13" s="92"/>
      <c r="J13" s="92"/>
      <c r="K13" s="92"/>
      <c r="L13" s="93"/>
      <c r="N13" s="61" t="s">
        <v>140</v>
      </c>
      <c r="O13" s="62" t="s">
        <v>141</v>
      </c>
      <c r="P13" t="str">
        <f>_xlfn.CONCAT(報告藍本!N13:O13)</f>
        <v>十三、 自行查核辦理情形：辦理自行查核作業尚符合規定。</v>
      </c>
    </row>
    <row r="14" spans="1:16" ht="15" x14ac:dyDescent="0.3">
      <c r="A14" s="75"/>
      <c r="G14" s="91"/>
      <c r="H14" s="92"/>
      <c r="I14" s="92"/>
      <c r="J14" s="92"/>
      <c r="K14" s="92"/>
      <c r="L14" s="93"/>
      <c r="N14" s="61" t="s">
        <v>142</v>
      </c>
      <c r="O14" s="62" t="s">
        <v>143</v>
      </c>
      <c r="P14" t="str">
        <f>_xlfn.CONCAT(報告藍本!N14:O14)</f>
        <v>十四、 其他說明事項：無。</v>
      </c>
    </row>
    <row r="15" spans="1:16" ht="16.2" customHeight="1" x14ac:dyDescent="0.3">
      <c r="A15" s="75"/>
      <c r="G15" s="91"/>
      <c r="H15" s="92"/>
      <c r="I15" s="92"/>
      <c r="J15" s="92"/>
      <c r="K15" s="92"/>
      <c r="L15" s="93"/>
      <c r="N15" s="61" t="s">
        <v>146</v>
      </c>
      <c r="O15" s="62" t="s">
        <v>127</v>
      </c>
      <c r="P15" t="str">
        <f>_xlfn.CONCAT(報告藍本!N15:O15)</f>
        <v>十二、金融消費者權益保護措施：不適用。</v>
      </c>
    </row>
    <row r="16" spans="1:16" ht="16.2" customHeight="1" x14ac:dyDescent="0.3">
      <c r="A16" s="75"/>
      <c r="G16" s="91"/>
      <c r="H16" s="92"/>
      <c r="I16" s="92"/>
      <c r="J16" s="92"/>
      <c r="K16" s="92"/>
      <c r="L16" s="93"/>
      <c r="N16" s="61" t="s">
        <v>147</v>
      </c>
      <c r="O16" s="62" t="s">
        <v>141</v>
      </c>
      <c r="P16" t="str">
        <f>_xlfn.CONCAT(報告藍本!N16:O16)</f>
        <v>十三、自行查核辦理情形：辦理自行查核作業尚符合規定。</v>
      </c>
    </row>
    <row r="17" spans="1:16" ht="187.8" customHeight="1" thickBot="1" x14ac:dyDescent="0.35">
      <c r="A17" s="75"/>
      <c r="G17" s="94"/>
      <c r="H17" s="95"/>
      <c r="I17" s="95"/>
      <c r="J17" s="95"/>
      <c r="K17" s="95"/>
      <c r="L17" s="96"/>
      <c r="N17" s="61" t="s">
        <v>148</v>
      </c>
      <c r="O17" s="62" t="s">
        <v>143</v>
      </c>
      <c r="P17" t="str">
        <f>_xlfn.CONCAT(報告藍本!N17:O17)</f>
        <v>十四、其他說明事項：無。</v>
      </c>
    </row>
    <row r="18" spans="1:16" ht="68.400000000000006" customHeight="1" x14ac:dyDescent="0.3">
      <c r="A18" s="75"/>
      <c r="N18" s="61"/>
      <c r="O18" s="62"/>
    </row>
    <row r="19" spans="1:16" ht="156.6" customHeight="1" thickBot="1" x14ac:dyDescent="0.35">
      <c r="A19" s="75"/>
      <c r="N19" s="63"/>
      <c r="O19" s="64"/>
    </row>
    <row r="20" spans="1:16" ht="76.8" customHeight="1" x14ac:dyDescent="0.3">
      <c r="A20" s="75"/>
    </row>
    <row r="21" spans="1:16" ht="91.8" customHeight="1" x14ac:dyDescent="0.3">
      <c r="A21" s="75"/>
    </row>
  </sheetData>
  <mergeCells count="4">
    <mergeCell ref="G2:L2"/>
    <mergeCell ref="G3:L17"/>
    <mergeCell ref="G1:L1"/>
    <mergeCell ref="N1:O1"/>
  </mergeCells>
  <phoneticPr fontId="1" type="noConversion"/>
  <pageMargins left="0.7" right="0.7" top="0.75" bottom="0.75" header="0.3" footer="0.3"/>
  <pageSetup paperSize="9" orientation="portrait"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32B67-BC3A-4DA6-B56E-0BEE01AAADA9}">
  <sheetPr codeName="工作表4">
    <tabColor theme="9"/>
    <pageSetUpPr fitToPage="1"/>
  </sheetPr>
  <dimension ref="A1:D27"/>
  <sheetViews>
    <sheetView workbookViewId="0">
      <selection activeCell="C8" sqref="C8:C18"/>
    </sheetView>
  </sheetViews>
  <sheetFormatPr defaultColWidth="6.109375" defaultRowHeight="16.2" x14ac:dyDescent="0.3"/>
  <cols>
    <col min="1" max="1" width="11.33203125" style="8" customWidth="1"/>
    <col min="2" max="2" width="85" style="8" customWidth="1"/>
    <col min="3" max="3" width="37.77734375" style="7" customWidth="1"/>
    <col min="4" max="4" width="20.6640625" style="8" bestFit="1" customWidth="1"/>
    <col min="5" max="16384" width="6.109375" style="8"/>
  </cols>
  <sheetData>
    <row r="1" spans="1:4" ht="19.8" x14ac:dyDescent="0.4">
      <c r="A1" s="5" t="s">
        <v>104</v>
      </c>
      <c r="B1" s="5"/>
    </row>
    <row r="2" spans="1:4" ht="19.8" x14ac:dyDescent="0.4">
      <c r="A2" s="5" t="s">
        <v>153</v>
      </c>
      <c r="B2" s="5"/>
    </row>
    <row r="3" spans="1:4" ht="19.8" x14ac:dyDescent="0.4">
      <c r="A3" s="5" t="s">
        <v>154</v>
      </c>
      <c r="B3" s="5"/>
    </row>
    <row r="4" spans="1:4" ht="19.8" x14ac:dyDescent="0.4">
      <c r="A4" s="5" t="s">
        <v>46</v>
      </c>
      <c r="B4" s="5"/>
    </row>
    <row r="5" spans="1:4" ht="19.8" x14ac:dyDescent="0.4">
      <c r="A5" s="5" t="s">
        <v>217</v>
      </c>
      <c r="B5" s="5"/>
    </row>
    <row r="6" spans="1:4" ht="52.2" customHeight="1" x14ac:dyDescent="0.3">
      <c r="A6" s="102" t="s">
        <v>19</v>
      </c>
      <c r="B6" s="102"/>
      <c r="C6" s="102"/>
      <c r="D6" s="102"/>
    </row>
    <row r="7" spans="1:4" s="52" customFormat="1" ht="15" customHeight="1" x14ac:dyDescent="0.3">
      <c r="A7" s="105" t="s">
        <v>18</v>
      </c>
      <c r="B7" s="106"/>
      <c r="C7" s="106"/>
      <c r="D7" s="103" t="s">
        <v>6</v>
      </c>
    </row>
    <row r="8" spans="1:4" s="52" customFormat="1" x14ac:dyDescent="0.3">
      <c r="A8" s="15" t="s">
        <v>23</v>
      </c>
      <c r="B8" s="50" t="s">
        <v>3</v>
      </c>
      <c r="C8" s="70" t="s">
        <v>150</v>
      </c>
      <c r="D8" s="104"/>
    </row>
    <row r="9" spans="1:4" ht="48.6" customHeight="1" x14ac:dyDescent="0.3">
      <c r="A9" s="84" t="s">
        <v>119</v>
      </c>
      <c r="B9" s="79" t="s">
        <v>103</v>
      </c>
      <c r="C9" s="80"/>
      <c r="D9" s="71"/>
    </row>
    <row r="10" spans="1:4" ht="48.6" customHeight="1" x14ac:dyDescent="0.3">
      <c r="A10" s="84"/>
      <c r="B10" s="79" t="s">
        <v>102</v>
      </c>
      <c r="C10" s="80"/>
      <c r="D10" s="71"/>
    </row>
    <row r="11" spans="1:4" ht="48.6" customHeight="1" x14ac:dyDescent="0.3">
      <c r="A11" s="84"/>
      <c r="B11" s="79" t="s">
        <v>22</v>
      </c>
      <c r="C11" s="80"/>
      <c r="D11" s="71"/>
    </row>
    <row r="12" spans="1:4" ht="48.6" customHeight="1" x14ac:dyDescent="0.3">
      <c r="A12" s="84"/>
      <c r="B12" s="79" t="s">
        <v>121</v>
      </c>
      <c r="C12" s="80"/>
      <c r="D12" s="71"/>
    </row>
    <row r="13" spans="1:4" ht="46.8" customHeight="1" x14ac:dyDescent="0.3">
      <c r="A13" s="84"/>
      <c r="B13" s="79" t="s">
        <v>123</v>
      </c>
      <c r="C13" s="80"/>
      <c r="D13" s="71"/>
    </row>
    <row r="14" spans="1:4" ht="46.8" customHeight="1" x14ac:dyDescent="0.3">
      <c r="A14" s="84" t="s">
        <v>117</v>
      </c>
      <c r="B14" s="79" t="s">
        <v>101</v>
      </c>
      <c r="C14" s="80"/>
      <c r="D14" s="71"/>
    </row>
    <row r="15" spans="1:4" ht="46.8" customHeight="1" x14ac:dyDescent="0.3">
      <c r="A15" s="84"/>
      <c r="B15" s="79" t="s">
        <v>98</v>
      </c>
      <c r="C15" s="80"/>
      <c r="D15" s="71"/>
    </row>
    <row r="16" spans="1:4" ht="46.8" customHeight="1" x14ac:dyDescent="0.3">
      <c r="A16" s="84"/>
      <c r="B16" s="79" t="s">
        <v>99</v>
      </c>
      <c r="C16" s="80"/>
      <c r="D16" s="71"/>
    </row>
    <row r="17" spans="1:4" ht="46.8" customHeight="1" x14ac:dyDescent="0.3">
      <c r="A17" s="84"/>
      <c r="B17" s="79" t="s">
        <v>100</v>
      </c>
      <c r="C17" s="80"/>
      <c r="D17" s="71"/>
    </row>
    <row r="18" spans="1:4" ht="48.6" customHeight="1" x14ac:dyDescent="0.3">
      <c r="A18" s="84"/>
      <c r="B18" s="79" t="s">
        <v>97</v>
      </c>
      <c r="C18" s="80"/>
      <c r="D18" s="71"/>
    </row>
    <row r="19" spans="1:4" ht="48.6" customHeight="1" x14ac:dyDescent="0.3">
      <c r="D19" s="71"/>
    </row>
    <row r="20" spans="1:4" ht="48.6" customHeight="1" x14ac:dyDescent="0.3">
      <c r="D20" s="71"/>
    </row>
    <row r="21" spans="1:4" ht="48.6" customHeight="1" x14ac:dyDescent="0.3">
      <c r="D21" s="71"/>
    </row>
    <row r="22" spans="1:4" ht="48.6" customHeight="1" x14ac:dyDescent="0.3">
      <c r="D22" s="71"/>
    </row>
    <row r="23" spans="1:4" ht="47.4" customHeight="1" x14ac:dyDescent="0.3">
      <c r="D23" s="71"/>
    </row>
    <row r="24" spans="1:4" ht="47.4" customHeight="1" x14ac:dyDescent="0.3">
      <c r="D24" s="71"/>
    </row>
    <row r="25" spans="1:4" ht="47.4" customHeight="1" x14ac:dyDescent="0.3">
      <c r="D25" s="71"/>
    </row>
    <row r="26" spans="1:4" ht="47.4" customHeight="1" x14ac:dyDescent="0.3">
      <c r="D26" s="71"/>
    </row>
    <row r="27" spans="1:4" ht="34.799999999999997" customHeight="1" x14ac:dyDescent="0.3">
      <c r="D27" s="71"/>
    </row>
  </sheetData>
  <mergeCells count="5">
    <mergeCell ref="A14:A18"/>
    <mergeCell ref="A6:D6"/>
    <mergeCell ref="D7:D8"/>
    <mergeCell ref="A7:C7"/>
    <mergeCell ref="A9:A13"/>
  </mergeCells>
  <phoneticPr fontId="1" type="noConversion"/>
  <pageMargins left="0.23622047244094491" right="0.23622047244094491" top="0.35433070866141736" bottom="0.35433070866141736" header="0.31496062992125984" footer="0.31496062992125984"/>
  <pageSetup paperSize="9" scale="8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9"/>
    <pageSetUpPr fitToPage="1"/>
  </sheetPr>
  <dimension ref="A1:G14"/>
  <sheetViews>
    <sheetView workbookViewId="0">
      <selection sqref="A1:XFD1048576"/>
    </sheetView>
  </sheetViews>
  <sheetFormatPr defaultRowHeight="16.2" x14ac:dyDescent="0.3"/>
  <cols>
    <col min="1" max="1" width="11.88671875" style="11" customWidth="1"/>
    <col min="2" max="2" width="66.21875" style="76" customWidth="1"/>
    <col min="3" max="3" width="9.44140625" bestFit="1" customWidth="1"/>
    <col min="4" max="4" width="7"/>
    <col min="5" max="5" width="29.33203125" customWidth="1"/>
    <col min="6" max="6" width="47.77734375" style="6" customWidth="1"/>
    <col min="7" max="7" width="18.109375" customWidth="1"/>
  </cols>
  <sheetData>
    <row r="1" spans="1:7" ht="22.2" customHeight="1" x14ac:dyDescent="0.3">
      <c r="A1" s="10"/>
      <c r="C1" s="1" t="s">
        <v>154</v>
      </c>
      <c r="D1" s="1"/>
      <c r="E1" s="1"/>
      <c r="F1" s="10" t="s">
        <v>48</v>
      </c>
    </row>
    <row r="2" spans="1:7" ht="22.2" customHeight="1" x14ac:dyDescent="0.3">
      <c r="A2" s="10"/>
      <c r="C2" s="1" t="s">
        <v>153</v>
      </c>
      <c r="D2" s="1"/>
      <c r="E2" s="1"/>
      <c r="F2" s="10" t="s">
        <v>46</v>
      </c>
      <c r="G2" s="1"/>
    </row>
    <row r="3" spans="1:7" ht="18" customHeight="1" x14ac:dyDescent="0.3">
      <c r="A3" s="12"/>
      <c r="B3" s="81"/>
      <c r="C3" s="109" t="s">
        <v>4</v>
      </c>
      <c r="D3" s="109"/>
      <c r="E3" s="109"/>
      <c r="F3" s="107" t="s">
        <v>6</v>
      </c>
      <c r="G3" s="107" t="s">
        <v>0</v>
      </c>
    </row>
    <row r="4" spans="1:7" ht="35.4" customHeight="1" x14ac:dyDescent="0.3">
      <c r="A4" s="15" t="s">
        <v>23</v>
      </c>
      <c r="B4" s="15" t="s">
        <v>3</v>
      </c>
      <c r="C4" s="54" t="s">
        <v>1</v>
      </c>
      <c r="D4" s="54" t="s">
        <v>2</v>
      </c>
      <c r="E4" s="54" t="s">
        <v>5</v>
      </c>
      <c r="F4" s="108"/>
      <c r="G4" s="108"/>
    </row>
    <row r="5" spans="1:7" ht="48" customHeight="1" x14ac:dyDescent="0.3">
      <c r="A5" s="84" t="s">
        <v>119</v>
      </c>
      <c r="B5" s="79" t="s">
        <v>103</v>
      </c>
      <c r="C5" s="16"/>
      <c r="D5" s="17"/>
      <c r="E5" s="18"/>
      <c r="F5" s="16" t="s">
        <v>169</v>
      </c>
      <c r="G5" s="2"/>
    </row>
    <row r="6" spans="1:7" ht="48" customHeight="1" x14ac:dyDescent="0.3">
      <c r="A6" s="84"/>
      <c r="B6" s="79" t="s">
        <v>102</v>
      </c>
      <c r="C6" s="16"/>
      <c r="D6" s="17"/>
      <c r="E6" s="18"/>
      <c r="F6" s="16" t="s">
        <v>167</v>
      </c>
      <c r="G6" s="2"/>
    </row>
    <row r="7" spans="1:7" ht="48" customHeight="1" x14ac:dyDescent="0.3">
      <c r="A7" s="84"/>
      <c r="B7" s="79" t="s">
        <v>22</v>
      </c>
      <c r="C7" s="16"/>
      <c r="D7" s="17"/>
      <c r="E7" s="18"/>
      <c r="F7" s="16" t="s">
        <v>171</v>
      </c>
      <c r="G7" s="2"/>
    </row>
    <row r="8" spans="1:7" ht="48" customHeight="1" x14ac:dyDescent="0.3">
      <c r="A8" s="84"/>
      <c r="B8" s="79" t="s">
        <v>121</v>
      </c>
      <c r="C8" s="16"/>
      <c r="D8" s="17"/>
      <c r="E8" s="16"/>
      <c r="F8" s="16" t="s">
        <v>170</v>
      </c>
      <c r="G8" s="2"/>
    </row>
    <row r="9" spans="1:7" ht="57" customHeight="1" x14ac:dyDescent="0.3">
      <c r="A9" s="84"/>
      <c r="B9" s="79" t="s">
        <v>123</v>
      </c>
      <c r="C9" s="16"/>
      <c r="D9" s="16"/>
      <c r="E9" s="16"/>
      <c r="F9" s="16" t="s">
        <v>168</v>
      </c>
      <c r="G9" s="2"/>
    </row>
    <row r="10" spans="1:7" ht="57" customHeight="1" x14ac:dyDescent="0.3">
      <c r="A10" s="84" t="s">
        <v>117</v>
      </c>
      <c r="B10" s="79" t="s">
        <v>101</v>
      </c>
      <c r="C10" s="16"/>
      <c r="D10" s="16"/>
      <c r="E10" s="16"/>
      <c r="F10" s="16" t="s">
        <v>182</v>
      </c>
      <c r="G10" s="2"/>
    </row>
    <row r="11" spans="1:7" ht="57" customHeight="1" x14ac:dyDescent="0.3">
      <c r="A11" s="84"/>
      <c r="B11" s="79" t="s">
        <v>98</v>
      </c>
      <c r="C11" s="16"/>
      <c r="D11" s="16"/>
      <c r="E11" s="49"/>
      <c r="F11" s="16" t="s">
        <v>216</v>
      </c>
      <c r="G11" s="2"/>
    </row>
    <row r="12" spans="1:7" ht="57" customHeight="1" x14ac:dyDescent="0.3">
      <c r="A12" s="84"/>
      <c r="B12" s="79" t="s">
        <v>99</v>
      </c>
      <c r="C12" s="49"/>
      <c r="D12" s="49"/>
      <c r="E12" s="49"/>
      <c r="F12" s="16" t="s">
        <v>166</v>
      </c>
      <c r="G12" s="49"/>
    </row>
    <row r="13" spans="1:7" ht="57" customHeight="1" x14ac:dyDescent="0.3">
      <c r="A13" s="84"/>
      <c r="B13" s="79" t="s">
        <v>100</v>
      </c>
      <c r="C13" s="49"/>
      <c r="D13" s="49"/>
      <c r="E13" s="49"/>
      <c r="F13" s="16" t="s">
        <v>183</v>
      </c>
      <c r="G13" s="49"/>
    </row>
    <row r="14" spans="1:7" ht="49.8" customHeight="1" x14ac:dyDescent="0.3">
      <c r="A14" s="84"/>
      <c r="B14" s="14" t="s">
        <v>97</v>
      </c>
      <c r="C14" s="82"/>
      <c r="D14" s="82"/>
      <c r="E14" s="82"/>
      <c r="F14" s="16" t="s">
        <v>220</v>
      </c>
      <c r="G14" s="82"/>
    </row>
  </sheetData>
  <mergeCells count="5">
    <mergeCell ref="A10:A14"/>
    <mergeCell ref="G3:G4"/>
    <mergeCell ref="C3:E3"/>
    <mergeCell ref="F3:F4"/>
    <mergeCell ref="A5:A9"/>
  </mergeCells>
  <phoneticPr fontId="1" type="noConversion"/>
  <printOptions horizontalCentered="1" verticalCentered="1"/>
  <pageMargins left="0.78740157480314965" right="0.78740157480314965" top="0.6692913385826772" bottom="0.6692913385826772" header="0.51181102362204722" footer="0.51181102362204722"/>
  <pageSetup paperSize="9" scale="68" fitToHeight="0" orientation="landscape" r:id="rId1"/>
  <headerFooter>
    <oddHeader>&amp;C&amp;"標楷體,標準"&amp;14全支付電子支付股份有限公司
查核工作底稿</oddHeader>
    <oddFooter xml:space="preserve">&amp;C &amp;P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7FC14-7546-4AAD-8BEA-F16EBF398100}">
  <sheetPr codeName="工作表3">
    <tabColor theme="9"/>
    <pageSetUpPr fitToPage="1"/>
  </sheetPr>
  <dimension ref="B2:E35"/>
  <sheetViews>
    <sheetView topLeftCell="A4" zoomScale="70" zoomScaleNormal="70" workbookViewId="0">
      <selection activeCell="B17" sqref="B17:D17"/>
    </sheetView>
  </sheetViews>
  <sheetFormatPr defaultColWidth="108" defaultRowHeight="27" customHeight="1" x14ac:dyDescent="0.3"/>
  <cols>
    <col min="1" max="1" width="3.33203125" style="44" customWidth="1"/>
    <col min="2" max="2" width="14.21875" style="44" customWidth="1"/>
    <col min="3" max="3" width="108" style="44"/>
    <col min="4" max="4" width="142.33203125" style="44" customWidth="1"/>
    <col min="5" max="5" width="3.33203125" style="44" customWidth="1"/>
    <col min="6" max="16384" width="108" style="44"/>
  </cols>
  <sheetData>
    <row r="2" spans="2:4" ht="27" customHeight="1" x14ac:dyDescent="1.8">
      <c r="B2" s="117" t="s">
        <v>51</v>
      </c>
      <c r="C2" s="117"/>
      <c r="D2" s="117"/>
    </row>
    <row r="3" spans="2:4" ht="27" customHeight="1" x14ac:dyDescent="0.3">
      <c r="B3" s="118" t="s">
        <v>151</v>
      </c>
      <c r="C3" s="118"/>
      <c r="D3" s="118"/>
    </row>
    <row r="4" spans="2:4" ht="27" customHeight="1" x14ac:dyDescent="0.3">
      <c r="B4" s="119" t="s">
        <v>154</v>
      </c>
      <c r="C4" s="119"/>
      <c r="D4" s="42"/>
    </row>
    <row r="5" spans="2:4" ht="27" customHeight="1" x14ac:dyDescent="0.3">
      <c r="B5" s="119" t="s">
        <v>155</v>
      </c>
      <c r="C5" s="119"/>
      <c r="D5" s="42"/>
    </row>
    <row r="6" spans="2:4" ht="27" customHeight="1" x14ac:dyDescent="0.3">
      <c r="B6" s="119" t="s">
        <v>48</v>
      </c>
      <c r="C6" s="119"/>
      <c r="D6" s="42"/>
    </row>
    <row r="7" spans="2:4" ht="27" customHeight="1" thickBot="1" x14ac:dyDescent="0.35">
      <c r="B7" s="125" t="s">
        <v>46</v>
      </c>
      <c r="C7" s="125"/>
      <c r="D7" s="45"/>
    </row>
    <row r="8" spans="2:4" ht="27" customHeight="1" thickTop="1" x14ac:dyDescent="0.3">
      <c r="C8" s="43" t="s">
        <v>7</v>
      </c>
      <c r="D8" s="43"/>
    </row>
    <row r="9" spans="2:4" ht="27" customHeight="1" x14ac:dyDescent="0.3">
      <c r="C9" s="120" t="s">
        <v>218</v>
      </c>
      <c r="D9" s="120"/>
    </row>
    <row r="10" spans="2:4" ht="27" customHeight="1" x14ac:dyDescent="0.3">
      <c r="C10" s="120" t="s">
        <v>95</v>
      </c>
      <c r="D10" s="120"/>
    </row>
    <row r="11" spans="2:4" ht="27" customHeight="1" thickBot="1" x14ac:dyDescent="0.35">
      <c r="C11" s="48"/>
      <c r="D11" s="48"/>
    </row>
    <row r="12" spans="2:4" s="43" customFormat="1" ht="27" customHeight="1" x14ac:dyDescent="0.3">
      <c r="B12" s="126" t="s">
        <v>105</v>
      </c>
      <c r="C12" s="127"/>
      <c r="D12" s="128"/>
    </row>
    <row r="13" spans="2:4" s="43" customFormat="1" ht="27" customHeight="1" thickBot="1" x14ac:dyDescent="0.35">
      <c r="B13" s="129" t="s">
        <v>47</v>
      </c>
      <c r="C13" s="130"/>
      <c r="D13" s="131"/>
    </row>
    <row r="14" spans="2:4" s="43" customFormat="1" ht="27" customHeight="1" thickBot="1" x14ac:dyDescent="0.35">
      <c r="B14" s="132" t="s">
        <v>104</v>
      </c>
      <c r="C14" s="133"/>
      <c r="D14" s="46" t="s">
        <v>153</v>
      </c>
    </row>
    <row r="15" spans="2:4" s="43" customFormat="1" ht="27" customHeight="1" thickBot="1" x14ac:dyDescent="0.35">
      <c r="B15" s="129" t="s">
        <v>144</v>
      </c>
      <c r="C15" s="130"/>
      <c r="D15" s="131"/>
    </row>
    <row r="16" spans="2:4" s="43" customFormat="1" ht="27" customHeight="1" x14ac:dyDescent="0.3">
      <c r="B16" s="114" t="s">
        <v>149</v>
      </c>
      <c r="C16" s="115"/>
      <c r="D16" s="116"/>
    </row>
    <row r="17" spans="2:5" s="43" customFormat="1" ht="27" customHeight="1" x14ac:dyDescent="0.3">
      <c r="B17" s="113" t="s">
        <v>196</v>
      </c>
      <c r="C17" s="119"/>
      <c r="D17" s="134"/>
      <c r="E17" s="42"/>
    </row>
    <row r="18" spans="2:5" s="43" customFormat="1" ht="27" customHeight="1" x14ac:dyDescent="0.3">
      <c r="B18" s="113" t="s">
        <v>219</v>
      </c>
      <c r="C18" s="119"/>
      <c r="D18" s="134"/>
      <c r="E18" s="42"/>
    </row>
    <row r="19" spans="2:5" s="43" customFormat="1" ht="27" customHeight="1" x14ac:dyDescent="0.3">
      <c r="B19" s="113"/>
      <c r="C19" s="119"/>
      <c r="D19" s="134"/>
    </row>
    <row r="20" spans="2:5" s="43" customFormat="1" ht="27" customHeight="1" x14ac:dyDescent="0.3">
      <c r="B20" s="110" t="s">
        <v>199</v>
      </c>
      <c r="C20" s="111"/>
      <c r="D20" s="112"/>
    </row>
    <row r="21" spans="2:5" s="43" customFormat="1" ht="27" customHeight="1" x14ac:dyDescent="0.3">
      <c r="B21" s="110" t="s">
        <v>200</v>
      </c>
      <c r="C21" s="111"/>
      <c r="D21" s="112"/>
    </row>
    <row r="22" spans="2:5" s="43" customFormat="1" ht="27" customHeight="1" x14ac:dyDescent="0.3">
      <c r="B22" s="110" t="s">
        <v>201</v>
      </c>
      <c r="C22" s="111"/>
      <c r="D22" s="112"/>
    </row>
    <row r="23" spans="2:5" s="43" customFormat="1" ht="27" customHeight="1" x14ac:dyDescent="0.3">
      <c r="B23" s="110" t="s">
        <v>202</v>
      </c>
      <c r="C23" s="111"/>
      <c r="D23" s="112"/>
    </row>
    <row r="24" spans="2:5" s="43" customFormat="1" ht="27" customHeight="1" x14ac:dyDescent="0.3">
      <c r="B24" s="110" t="s">
        <v>203</v>
      </c>
      <c r="C24" s="111"/>
      <c r="D24" s="112"/>
    </row>
    <row r="25" spans="2:5" s="43" customFormat="1" ht="27" customHeight="1" x14ac:dyDescent="0.3">
      <c r="B25" s="110" t="s">
        <v>204</v>
      </c>
      <c r="C25" s="111"/>
      <c r="D25" s="112"/>
    </row>
    <row r="26" spans="2:5" s="43" customFormat="1" ht="27" customHeight="1" x14ac:dyDescent="0.3">
      <c r="B26" s="113" t="s">
        <v>205</v>
      </c>
      <c r="C26" s="111"/>
      <c r="D26" s="112"/>
    </row>
    <row r="27" spans="2:5" s="43" customFormat="1" ht="27" customHeight="1" x14ac:dyDescent="0.3">
      <c r="B27" s="110" t="s">
        <v>206</v>
      </c>
      <c r="C27" s="111"/>
      <c r="D27" s="112"/>
    </row>
    <row r="28" spans="2:5" s="43" customFormat="1" ht="27" customHeight="1" x14ac:dyDescent="0.3">
      <c r="B28" s="110" t="s">
        <v>207</v>
      </c>
      <c r="C28" s="111"/>
      <c r="D28" s="112"/>
    </row>
    <row r="29" spans="2:5" s="43" customFormat="1" ht="27" customHeight="1" x14ac:dyDescent="0.3">
      <c r="B29" s="110" t="s">
        <v>208</v>
      </c>
      <c r="C29" s="111"/>
      <c r="D29" s="112"/>
    </row>
    <row r="30" spans="2:5" s="43" customFormat="1" ht="27" customHeight="1" x14ac:dyDescent="0.3">
      <c r="B30" s="110" t="s">
        <v>209</v>
      </c>
      <c r="C30" s="111"/>
      <c r="D30" s="112"/>
    </row>
    <row r="31" spans="2:5" s="43" customFormat="1" ht="27" customHeight="1" x14ac:dyDescent="0.3">
      <c r="B31" s="110" t="s">
        <v>210</v>
      </c>
      <c r="C31" s="111"/>
      <c r="D31" s="112"/>
    </row>
    <row r="32" spans="2:5" s="43" customFormat="1" ht="27" customHeight="1" x14ac:dyDescent="0.3">
      <c r="B32" s="110" t="s">
        <v>211</v>
      </c>
      <c r="C32" s="111"/>
      <c r="D32" s="112"/>
    </row>
    <row r="33" spans="2:4" s="43" customFormat="1" ht="27" customHeight="1" thickBot="1" x14ac:dyDescent="0.35">
      <c r="B33" s="121" t="s">
        <v>96</v>
      </c>
      <c r="C33" s="122"/>
      <c r="D33" s="123"/>
    </row>
    <row r="34" spans="2:4" s="43" customFormat="1" ht="27" customHeight="1" x14ac:dyDescent="0.3">
      <c r="B34" s="124" t="s">
        <v>15</v>
      </c>
      <c r="C34" s="124"/>
      <c r="D34" s="43" t="s">
        <v>16</v>
      </c>
    </row>
    <row r="35" spans="2:4" ht="27" customHeight="1" x14ac:dyDescent="0.3">
      <c r="C35" s="47"/>
      <c r="D35" s="47"/>
    </row>
  </sheetData>
  <mergeCells count="30">
    <mergeCell ref="B33:D33"/>
    <mergeCell ref="B34:C34"/>
    <mergeCell ref="B7:C7"/>
    <mergeCell ref="B5:C5"/>
    <mergeCell ref="B6:C6"/>
    <mergeCell ref="B12:D12"/>
    <mergeCell ref="B13:D13"/>
    <mergeCell ref="B14:C14"/>
    <mergeCell ref="B15:D15"/>
    <mergeCell ref="B18:D19"/>
    <mergeCell ref="B17:D17"/>
    <mergeCell ref="B27:D27"/>
    <mergeCell ref="B20:D20"/>
    <mergeCell ref="B21:D21"/>
    <mergeCell ref="B32:D32"/>
    <mergeCell ref="B22:D22"/>
    <mergeCell ref="B16:D16"/>
    <mergeCell ref="B2:D2"/>
    <mergeCell ref="B3:D3"/>
    <mergeCell ref="B4:C4"/>
    <mergeCell ref="C9:D9"/>
    <mergeCell ref="C10:D10"/>
    <mergeCell ref="B28:D28"/>
    <mergeCell ref="B29:D29"/>
    <mergeCell ref="B30:D30"/>
    <mergeCell ref="B31:D31"/>
    <mergeCell ref="B23:D23"/>
    <mergeCell ref="B24:D24"/>
    <mergeCell ref="B25:D25"/>
    <mergeCell ref="B26:D26"/>
  </mergeCells>
  <phoneticPr fontId="1" type="noConversion"/>
  <printOptions horizontalCentered="1"/>
  <pageMargins left="0" right="0" top="0" bottom="0" header="0.31496062992125984" footer="0.31496062992125984"/>
  <pageSetup paperSize="9" scale="53" fitToHeight="0" orientation="landscape"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DEF73F-6B32-4F2D-AB99-C8EF8EC681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3</vt:i4>
      </vt:variant>
    </vt:vector>
  </HeadingPairs>
  <TitlesOfParts>
    <vt:vector size="10" baseType="lpstr">
      <vt:lpstr>Variable</vt:lpstr>
      <vt:lpstr>Temporary</vt:lpstr>
      <vt:lpstr>Temporary2</vt:lpstr>
      <vt:lpstr>報告藍本</vt:lpstr>
      <vt:lpstr>調閱清單</vt:lpstr>
      <vt:lpstr>工作底稿</vt:lpstr>
      <vt:lpstr>查核稽核報告</vt:lpstr>
      <vt:lpstr>工作底稿!Print_Area</vt:lpstr>
      <vt:lpstr>查核稽核報告!Print_Area</vt:lpstr>
      <vt:lpstr>調閱清單!Print_Area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Aspose Pty Ltd</dc:creator>
  <cp:lastModifiedBy>jacob_wang</cp:lastModifiedBy>
  <cp:lastPrinted>2022-11-08T02:36:29Z</cp:lastPrinted>
  <dcterms:created xsi:type="dcterms:W3CDTF">2022-10-04T09:35:30Z</dcterms:created>
  <dcterms:modified xsi:type="dcterms:W3CDTF">2022-11-16T06:14:12Z</dcterms:modified>
</cp:coreProperties>
</file>