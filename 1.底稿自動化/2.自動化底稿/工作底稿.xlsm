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D:\測試區\"/>
    </mc:Choice>
  </mc:AlternateContent>
  <xr:revisionPtr revIDLastSave="0" documentId="13_ncr:1_{BF3C920B-F412-43BC-863F-3FC5734CF8C7}" xr6:coauthVersionLast="47" xr6:coauthVersionMax="47" xr10:uidLastSave="{00000000-0000-0000-0000-000000000000}"/>
  <bookViews>
    <workbookView xWindow="-28920" yWindow="30" windowWidth="29040" windowHeight="15720"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H3" i="13" a="1"/>
  <c r="H3" i="13" s="1"/>
  <c r="D32" i="8" s="1"/>
  <c r="F3" i="13"/>
  <c r="F4" i="13"/>
  <c r="F5" i="13"/>
  <c r="F6" i="13"/>
  <c r="F7" i="13"/>
  <c r="F8" i="13"/>
  <c r="F9" i="13"/>
  <c r="D5" i="13"/>
  <c r="D6" i="13"/>
  <c r="D7" i="13"/>
  <c r="D3" i="13"/>
  <c r="D8" i="13"/>
  <c r="D9" i="13"/>
  <c r="D4" i="1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4" i="3"/>
  <c r="B15" i="3"/>
  <c r="B16" i="3"/>
  <c r="B17" i="3"/>
  <c r="B18" i="3"/>
  <c r="B19" i="3"/>
  <c r="B20" i="3"/>
  <c r="D13" i="8"/>
  <c r="D10" i="8"/>
  <c r="D8" i="8"/>
  <c r="D6" i="8"/>
  <c r="D6" i="3"/>
  <c r="D7" i="3"/>
  <c r="N3" i="13" l="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<sst xmlns="http://schemas.openxmlformats.org/spreadsheetml/2006/main" count="388" uniqueCount="177">
  <si>
    <t>底稿索引</t>
  </si>
  <si>
    <t>是</t>
  </si>
  <si>
    <t>否</t>
  </si>
  <si>
    <t>查核項目</t>
  </si>
  <si>
    <t>檢查、評估情形</t>
  </si>
  <si>
    <t>不適用</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</si>
  <si>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</si>
  <si>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</si>
  <si>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</si>
  <si>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</si>
  <si>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</si>
  <si>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</si>
  <si>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</si>
  <si>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</si>
  <si>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</si>
  <si>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</si>
  <si>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</si>
  <si>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</si>
  <si>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</si>
  <si>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</si>
  <si>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</si>
  <si>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</si>
  <si>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</si>
  <si>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</si>
  <si>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</si>
  <si>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</si>
  <si>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</si>
  <si>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</si>
  <si>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</si>
  <si>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</si>
  <si>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</si>
  <si>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</si>
  <si>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</si>
  <si>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</si>
  <si>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</si>
  <si>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</si>
  <si>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</si>
  <si>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</si>
  <si>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</si>
  <si>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</si>
  <si>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</si>
  <si>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</si>
  <si>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</si>
  <si>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</si>
  <si>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資訊系統開發、變更與維護管理辦法</t>
    <phoneticPr fontId="1" type="noConversion"/>
  </si>
  <si>
    <t>、基本作業循環內部控制制度之</t>
  </si>
  <si>
    <t>資訊作業循環</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</si>
  <si>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</si>
  <si>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</si>
  <si>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</si>
  <si>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</si>
  <si>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t>說明：此處將直接帶入調閱清單及工作底稿。</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</si>
  <si>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</si>
  <si>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</si>
  <si>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</si>
  <si>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</si>
  <si>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「資訊系統開發、變更與維護管理辦法」</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</si>
  <si>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</si>
  <si>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</si>
  <si>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</si>
  <si>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</si>
  <si>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</si>
  <si>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</si>
  <si>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</si>
  <si>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</si>
  <si>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</si>
  <si>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</si>
  <si>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</si>
  <si>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</si>
  <si>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「資訊作業循環」</t>
  </si>
  <si>
    <t>產出結果：</t>
    <phoneticPr fontId="1" type="noConversion"/>
  </si>
  <si>
    <t>文字串接：</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</si>
  <si>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</si>
  <si>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</si>
  <si>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</si>
  <si>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</si>
  <si>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</si>
  <si>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</si>
  <si>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</si>
  <si>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</si>
  <si>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</si>
  <si>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</si>
  <si>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</si>
  <si>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</si>
  <si>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</si>
  <si>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</si>
  <si>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</si>
  <si>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</si>
  <si>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</si>
  <si>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</si>
  <si>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</si>
  <si>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</si>
  <si>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</si>
  <si>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</si>
  <si>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</si>
  <si>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</si>
  <si>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</si>
  <si>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</si>
  <si>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</si>
  <si>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</si>
  <si>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</si>
  <si>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</si>
  <si>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</si>
  <si>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</si>
  <si>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</si>
  <si>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</si>
  <si>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</si>
  <si>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</si>
  <si>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</si>
  <si>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</si>
  <si>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</si>
  <si>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</si>
  <si>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</si>
  <si>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</si>
  <si>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</si>
  <si>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</si>
  <si>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</si>
  <si>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</si>
  <si>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</si>
  <si>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</si>
  <si>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</si>
  <si>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</si>
  <si>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</si>
  <si>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</si>
  <si>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</si>
  <si>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</si>
  <si>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t>
    <phoneticPr fontId="1" type="noConversion"/>
  </si>
  <si>
    <t xml:space="preserve">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t>
    <phoneticPr fontId="1" type="noConversion"/>
  </si>
  <si>
    <t xml:space="preserve">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t>
    <phoneticPr fontId="1" type="noConversion"/>
  </si>
  <si>
    <t xml:space="preserve">                             全支付電子支付  稽核室</t>
  </si>
  <si>
    <t xml:space="preserve">董事長（簽章/日期）: </t>
  </si>
  <si>
    <t xml:space="preserve">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</si>
  <si>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一、</t>
    <phoneticPr fontId="1" type="noConversion"/>
  </si>
  <si>
    <t>綜合評述/本次查核情形之重點說明：</t>
    <phoneticPr fontId="1" type="noConversion"/>
  </si>
  <si>
    <t>一、使用者徵審管理作業</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</si>
  <si>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</si>
  <si>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</si>
  <si>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</si>
  <si>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</si>
  <si>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二、通路商業務洽談與評估作業</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</si>
  <si>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</si>
  <si>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</si>
  <si>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</si>
  <si>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</si>
  <si>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</si>
  <si>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三、通路商付款及入帳作業</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</si>
  <si>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</si>
  <si>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</si>
  <si>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</si>
  <si>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</si>
  <si>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</si>
  <si>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四、 委外管理作業管理</t>
  </si>
  <si>
    <r>
      <t>四、</t>
    </r>
    <r>
      <rPr>
        <sz val="11"/>
        <rFont val="Calibri"/>
        <family val="2"/>
      </rPr>
      <t xml:space="preserve"> </t>
    </r>
    <r>
      <rPr>
        <sz val="11"/>
        <rFont val="細明體"/>
        <family val="3"/>
        <charset val="136"/>
      </rPr>
      <t>委外管理作業管理</t>
    </r>
  </si>
  <si>
    <t>本公司收付訊息處理作業委外之管理，是否符合相關規範辦理。</t>
  </si>
  <si>
    <t>承上，業務部是否針對該委外業務至少每半年對受託機構辦理相關檢核作業。</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</si>
  <si>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</si>
  <si>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</si>
  <si>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</si>
  <si>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九、使用者及特約機構資料保密管理：不適用</t>
    <phoneticPr fontId="1" type="noConversion"/>
  </si>
  <si>
    <t>十、資訊管理：除下列發現事項外，其餘尚符合相關規定。</t>
    <phoneticPr fontId="1" type="noConversion"/>
  </si>
  <si>
    <t>二、財務狀況：不適用。</t>
    <phoneticPr fontId="1" type="noConversion"/>
  </si>
  <si>
    <t>三、經營績效：不適用。</t>
    <phoneticPr fontId="1" type="noConversion"/>
  </si>
  <si>
    <t>四、資產品質：不適用。</t>
    <phoneticPr fontId="1" type="noConversion"/>
  </si>
  <si>
    <t>五、董事會議事運作之管理：不適用。</t>
    <phoneticPr fontId="1" type="noConversion"/>
  </si>
  <si>
    <t>六、法令遵循：尚符合規定。</t>
    <phoneticPr fontId="1" type="noConversion"/>
  </si>
  <si>
    <t>七、內部控制：尚符合規定。</t>
    <phoneticPr fontId="1" type="noConversion"/>
  </si>
  <si>
    <t>八、各項業務作業控制與內部管理：除下列發現事項外，其餘尚符合相關規定。</t>
    <phoneticPr fontId="1" type="noConversion"/>
  </si>
  <si>
    <t>十一、員工保密教育：尚符合規定。</t>
    <phoneticPr fontId="1" type="noConversion"/>
  </si>
  <si>
    <t>十二、金融消費者權益保護措施：不適用。</t>
    <phoneticPr fontId="1" type="noConversion"/>
  </si>
  <si>
    <t>十三、自行查核辦理情形：辦理自行查核作業尚符合規定。</t>
    <phoneticPr fontId="1" type="noConversion"/>
  </si>
  <si>
    <t>十四、其他說明事項：無。</t>
    <phoneticPr fontId="1" type="noConversion"/>
  </si>
  <si>
    <t xml:space="preserve">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t>
    <phoneticPr fontId="1" type="noConversion"/>
  </si>
  <si>
    <t>test1</t>
    <phoneticPr fontId="1" type="noConversion"/>
  </si>
  <si>
    <t>製表日：中華民國111年10月27日</t>
    <phoneticPr fontId="1" type="noConversion"/>
  </si>
  <si>
    <t>中華民國111年10月27日</t>
    <phoneticPr fontId="1" type="noConversion"/>
  </si>
  <si>
    <t xml:space="preserve">    本次查核為辦理本公司111年度稽核計畫中技術部之一般查核，查核項目：一、使用者徵審管理作業、二、通路商業務洽談與評估作業、三、通路商付款及入帳作業、四、 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t>
    <phoneticPr fontId="1" type="noConversion"/>
  </si>
  <si>
    <t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</si>
</sst>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sz val="11"/>
      <color theme="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tint="-0.14999847407452621"/>
        <bgColor theme="0" tint="-0.14999847407452621"/>
      </pattern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s>
  <cellStyleXfs count="2">
    <xf numFmtId="0" fontId="0" fillId="0" borderId="0"/>
    <xf numFmtId="0" fontId="14" fillId="0" borderId="0"/>
  </cellStyleXfs>
  <cellXfs count="123">
    <xf numFmtId="0" fontId="0" fillId="0" borderId="0" xfId="0" applyAlignment="1">
      <alignment horizontal="left"/>
    </xf>
    <xf numFmtId="0" fontId="2" fillId="0" borderId="0" xfId="0" applyFont="1" applyAlignment="1">
      <alignment horizontal="left" vertical="center"/>
    </xf>
    <xf numFmtId="0" fontId="4" fillId="2" borderId="1" xfId="0" applyFont="1" applyFill="1" applyBorder="1" applyAlignment="1">
      <alignment horizontal="center" vertical="center" wrapText="1"/>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4"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5" fillId="0" borderId="18" xfId="0" applyFont="1" applyBorder="1" applyAlignment="1">
      <alignment horizontal="left"/>
    </xf>
    <xf numFmtId="0" fontId="25" fillId="0" borderId="19" xfId="0" applyFont="1" applyBorder="1" applyAlignment="1">
      <alignment horizontal="left"/>
    </xf>
    <xf numFmtId="0" fontId="25" fillId="0" borderId="20" xfId="0" applyFont="1" applyBorder="1" applyAlignment="1">
      <alignment horizontal="left"/>
    </xf>
    <xf numFmtId="0" fontId="25" fillId="0" borderId="22" xfId="0" applyFont="1" applyBorder="1" applyAlignment="1">
      <alignment horizontal="left"/>
    </xf>
    <xf numFmtId="0" fontId="25" fillId="0" borderId="21"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2" fillId="0" borderId="10" xfId="0" applyFont="1" applyBorder="1" applyAlignment="1">
      <alignment horizontal="left" wrapText="1"/>
    </xf>
    <xf numFmtId="0" fontId="32" fillId="0" borderId="0" xfId="0" applyFont="1" applyAlignment="1">
      <alignment horizontal="left" wrapText="1"/>
    </xf>
    <xf numFmtId="0" fontId="32" fillId="0" borderId="24" xfId="0" applyFont="1" applyBorder="1" applyAlignment="1">
      <alignment horizontal="center" wrapText="1"/>
    </xf>
    <xf numFmtId="0" fontId="33" fillId="0" borderId="0" xfId="0" applyFont="1" applyAlignment="1">
      <alignment horizontal="left" wrapText="1"/>
    </xf>
    <xf numFmtId="0" fontId="33" fillId="0" borderId="17" xfId="0" applyFont="1" applyBorder="1" applyAlignment="1">
      <alignment horizontal="left" wrapText="1"/>
    </xf>
    <xf numFmtId="0" fontId="33" fillId="0" borderId="0" xfId="0" applyFont="1" applyAlignment="1">
      <alignment horizontal="left" vertical="top" wrapText="1"/>
    </xf>
    <xf numFmtId="0" fontId="33"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34" fillId="4" borderId="30" xfId="0" applyFont="1" applyFill="1" applyBorder="1" applyAlignment="1">
      <alignment horizontal="left" vertical="top" wrapText="1"/>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6" xfId="0" applyFont="1" applyBorder="1" applyAlignment="1">
      <alignment horizontal="left" vertical="top" wrapText="1"/>
    </xf>
    <xf numFmtId="0" fontId="30" fillId="0" borderId="7" xfId="0" applyFont="1" applyBorder="1" applyAlignment="1">
      <alignment horizontal="left" vertical="top" wrapText="1"/>
    </xf>
    <xf numFmtId="0" fontId="37" fillId="0" borderId="0" xfId="0" applyFont="1" applyAlignment="1">
      <alignment horizontal="left" vertical="top"/>
    </xf>
    <xf numFmtId="0" fontId="30" fillId="0" borderId="0" xfId="0" applyFont="1" applyAlignment="1">
      <alignment horizontal="right" vertical="top"/>
    </xf>
    <xf numFmtId="0" fontId="18" fillId="0" borderId="0" xfId="1" applyFont="1" applyAlignment="1">
      <alignment wrapText="1"/>
    </xf>
    <xf numFmtId="0" fontId="0" fillId="0" borderId="1" xfId="0" applyBorder="1" applyAlignment="1">
      <alignment horizontal="left"/>
    </xf>
    <xf numFmtId="0" fontId="39" fillId="0" borderId="8" xfId="0" applyFont="1" applyBorder="1" applyAlignment="1">
      <alignment horizontal="left" vertical="top" wrapText="1"/>
    </xf>
    <xf numFmtId="0" fontId="39" fillId="0" borderId="8" xfId="0" applyFont="1" applyBorder="1" applyAlignment="1">
      <alignment horizontal="left" vertical="top"/>
    </xf>
    <xf numFmtId="0" fontId="20" fillId="0" borderId="31" xfId="0" applyFont="1" applyBorder="1" applyAlignment="1">
      <alignment horizontal="center" vertical="center" wrapText="1"/>
    </xf>
    <xf numFmtId="0" fontId="18" fillId="0" borderId="1" xfId="1" applyFont="1" applyBorder="1" applyAlignment="1">
      <alignment wrapText="1"/>
    </xf>
    <xf numFmtId="0" fontId="18" fillId="0" borderId="1" xfId="1" applyFont="1" applyBorder="1"/>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5"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2" fillId="0" borderId="31" xfId="0" applyFont="1" applyBorder="1" applyAlignment="1">
      <alignment horizontal="center" vertical="center" textRotation="255"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30" fillId="0" borderId="27" xfId="0" applyFont="1" applyBorder="1" applyAlignment="1">
      <alignment horizontal="left" vertical="top" wrapText="1"/>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40" fillId="0" borderId="0" xfId="0" applyFont="1" applyAlignment="1">
      <alignment horizontal="left" vertical="top"/>
    </xf>
    <xf numFmtId="0" fontId="30" fillId="0" borderId="2" xfId="0" applyFont="1" applyBorder="1" applyAlignment="1">
      <alignment horizontal="left" vertical="top" wrapText="1"/>
    </xf>
    <xf numFmtId="0" fontId="30" fillId="0" borderId="0" xfId="0" applyFont="1" applyAlignment="1">
      <alignment horizontal="left" vertical="top" wrapText="1"/>
    </xf>
    <xf numFmtId="0" fontId="38" fillId="0" borderId="6" xfId="0" applyFont="1" applyBorder="1" applyAlignment="1">
      <alignment horizontal="left" vertical="top" wrapText="1"/>
    </xf>
    <xf numFmtId="0" fontId="38" fillId="0" borderId="26" xfId="0" applyFont="1" applyBorder="1" applyAlignment="1">
      <alignment horizontal="left" vertical="top" wrapText="1"/>
    </xf>
    <xf numFmtId="0" fontId="38" fillId="0" borderId="7" xfId="0" applyFont="1" applyBorder="1" applyAlignment="1">
      <alignment horizontal="left" vertical="top" wrapText="1"/>
    </xf>
    <xf numFmtId="0" fontId="38" fillId="0" borderId="3" xfId="0" applyFont="1" applyBorder="1" applyAlignment="1">
      <alignment horizontal="left" vertical="top" wrapText="1"/>
    </xf>
    <xf numFmtId="0" fontId="38" fillId="0" borderId="0" xfId="0" applyFont="1" applyAlignment="1">
      <alignment horizontal="left" vertical="top" wrapText="1"/>
    </xf>
    <xf numFmtId="0" fontId="38" fillId="0" borderId="8" xfId="0" applyFont="1" applyBorder="1" applyAlignment="1">
      <alignment horizontal="left" vertical="top" wrapText="1"/>
    </xf>
    <xf numFmtId="0" fontId="38" fillId="0" borderId="4" xfId="0" applyFont="1" applyBorder="1" applyAlignment="1">
      <alignment horizontal="left" vertical="top" wrapText="1"/>
    </xf>
    <xf numFmtId="0" fontId="38" fillId="0" borderId="25" xfId="0" applyFont="1" applyBorder="1" applyAlignment="1">
      <alignment horizontal="left" vertical="top" wrapText="1"/>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30" fillId="0" borderId="8" xfId="0" applyFont="1" applyBorder="1" applyAlignment="1">
      <alignment horizontal="left" vertical="top"/>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right" vertical="top"/>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1.423238310184"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一、使用者徵審管理作業"/>
        <s v="二、通路商業務洽談與評估作業"/>
        <s v="三、通路商付款及入帳作業"/>
        <s v="四、 委外管理作業管理"/>
      </sharedItems>
    </cacheField>
    <cacheField name="[查核作業].[查核項目].[查核項目]" caption="查核項目" numFmtId="0" hierarchy="2" level="1">
      <sharedItems count="18">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承上，業務部是否針對該委外業務至少每半年對受託機構辦理相關檢核作業。"/>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3" firstHeaderRow="1" firstDataRow="1" firstDataCol="2"/>
  <pivotFields count="2">
    <pivotField axis="axisRow" compact="0" allDrilled="1" showAll="0" sortType="ascending" defaultSubtotal="0" defaultAttributeDrillState="1">
      <items count="4">
        <item x="0"/>
        <item x="1"/>
        <item x="2"/>
        <item x="3"/>
      </items>
    </pivotField>
    <pivotField axis="axisRow" compact="0" allDrilled="1"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22">
    <i>
      <x/>
    </i>
    <i r="1">
      <x/>
    </i>
    <i r="1">
      <x v="1"/>
    </i>
    <i r="1">
      <x v="2"/>
    </i>
    <i r="1">
      <x v="3"/>
    </i>
    <i>
      <x v="1"/>
    </i>
    <i r="1">
      <x v="4"/>
    </i>
    <i r="1">
      <x v="5"/>
    </i>
    <i r="1">
      <x v="6"/>
    </i>
    <i r="1">
      <x v="7"/>
    </i>
    <i r="1">
      <x v="8"/>
    </i>
    <i>
      <x v="2"/>
    </i>
    <i r="1">
      <x v="9"/>
    </i>
    <i r="1">
      <x v="10"/>
    </i>
    <i r="1">
      <x v="11"/>
    </i>
    <i r="1">
      <x v="12"/>
    </i>
    <i r="1">
      <x v="13"/>
    </i>
    <i>
      <x v="3"/>
    </i>
    <i r="1">
      <x v="14"/>
    </i>
    <i r="1">
      <x v="15"/>
    </i>
    <i r="1">
      <x v="16"/>
    </i>
    <i r="1">
      <x v="17"/>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3:E32" totalsRowShown="0" headerRowDxfId="31">
  <autoFilter ref="C13:E32"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3:I21" totalsRowShown="0" headerRowDxfId="28">
  <autoFilter ref="G13:I21"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0" dataDxfId="9">
  <autoFilter ref="K4:K8"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3"/>
  <sheetViews>
    <sheetView tabSelected="1" topLeftCell="A12" workbookViewId="0">
      <selection activeCell="G10" sqref="G10"/>
    </sheetView>
  </sheetViews>
  <sheetFormatPr defaultRowHeight="21.6" customHeight="1" x14ac:dyDescent="0.3"/>
  <cols>
    <col min="1" max="1" width="20.33203125" customWidth="1"/>
    <col min="2" max="2" width="20.33203125" hidden="1" customWidth="1"/>
    <col min="3" max="3" width="26.21875" customWidth="1"/>
    <col min="4" max="4" width="27.10937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6" t="s">
        <v>49</v>
      </c>
      <c r="G2" s="25" t="s">
        <v>55</v>
      </c>
    </row>
    <row r="3" spans="2:9" ht="21.6" customHeight="1" thickBot="1" x14ac:dyDescent="0.35">
      <c r="C3" s="23" t="s">
        <v>50</v>
      </c>
      <c r="G3" s="23" t="s">
        <v>25</v>
      </c>
    </row>
    <row r="4" spans="2:9" ht="21.6" customHeight="1" x14ac:dyDescent="0.3">
      <c r="C4" s="36" t="s">
        <v>10</v>
      </c>
      <c r="D4" s="37" t="s">
        <v>13</v>
      </c>
      <c r="E4" s="28" t="s">
        <v>14</v>
      </c>
    </row>
    <row r="5" spans="2:9" ht="21.6" customHeight="1" x14ac:dyDescent="0.3">
      <c r="C5" s="38" t="s">
        <v>11</v>
      </c>
      <c r="D5" s="27" t="s">
        <v>72</v>
      </c>
      <c r="E5" s="29"/>
    </row>
    <row r="6" spans="2:9" ht="21.6" customHeight="1" x14ac:dyDescent="0.3">
      <c r="C6" s="38" t="s">
        <v>18</v>
      </c>
      <c r="D6" s="27" t="str">
        <f>C6&amp;"："&amp;"111年1月1日~" &amp;RIGHT(D5,10)</f>
        <v>查核範圍期間：111年1月1日~111年08月31日</v>
      </c>
      <c r="E6" s="29"/>
    </row>
    <row r="7" spans="2:9" ht="21.6" customHeight="1" x14ac:dyDescent="0.3">
      <c r="C7" s="38" t="s">
        <v>12</v>
      </c>
      <c r="D7" s="27" t="str">
        <f ca="1">"中華民國"&amp;YEAR(TODAY())-1911&amp;"年" &amp; MONTH(TODAY()) &amp; "月" &amp; DAY(TODAY()) &amp; "日"</f>
        <v>中華民國111年10月27日</v>
      </c>
      <c r="E7" s="29"/>
    </row>
    <row r="8" spans="2:9" ht="21.6" customHeight="1" x14ac:dyDescent="0.3">
      <c r="C8" s="38" t="s">
        <v>15</v>
      </c>
      <c r="D8" s="27" t="s">
        <v>156</v>
      </c>
      <c r="E8" s="29"/>
    </row>
    <row r="9" spans="2:9" ht="34.200000000000003" customHeight="1" thickBot="1" x14ac:dyDescent="0.35">
      <c r="C9" s="40" t="s">
        <v>78</v>
      </c>
      <c r="D9" s="39" t="b">
        <v>1</v>
      </c>
      <c r="E9" s="30"/>
    </row>
    <row r="10" spans="2:9" ht="63.6" customHeight="1" x14ac:dyDescent="0.3"/>
    <row r="11" spans="2:9" ht="21.6" customHeight="1" x14ac:dyDescent="0.4">
      <c r="C11" s="26" t="s">
        <v>52</v>
      </c>
      <c r="G11" s="24" t="s">
        <v>48</v>
      </c>
    </row>
    <row r="12" spans="2:9" ht="21.6" customHeight="1" x14ac:dyDescent="0.3">
      <c r="C12" s="23" t="s">
        <v>51</v>
      </c>
      <c r="D12" s="5"/>
      <c r="G12" s="4" t="s">
        <v>26</v>
      </c>
    </row>
    <row r="13" spans="2:9" ht="21.6" customHeight="1" x14ac:dyDescent="0.3">
      <c r="C13" s="4" t="s">
        <v>21</v>
      </c>
      <c r="D13" s="4" t="s">
        <v>22</v>
      </c>
      <c r="E13" s="10" t="s">
        <v>6</v>
      </c>
      <c r="G13" s="4" t="s">
        <v>30</v>
      </c>
      <c r="H13" s="4" t="s">
        <v>32</v>
      </c>
      <c r="I13" s="4" t="s">
        <v>54</v>
      </c>
    </row>
    <row r="14" spans="2:9" ht="72" x14ac:dyDescent="0.3">
      <c r="B14" t="str">
        <f>Temporary!N5&amp;Temporary!R5&amp;Temporary!O5</f>
        <v>(一)</v>
      </c>
      <c r="C14" s="5" t="s">
        <v>134</v>
      </c>
      <c r="D14" s="7" t="s">
        <v>135</v>
      </c>
      <c r="E14" s="7" t="s">
        <v>172</v>
      </c>
      <c r="G14" s="5" t="s">
        <v>44</v>
      </c>
      <c r="H14" s="5" t="s">
        <v>35</v>
      </c>
      <c r="I14" s="5" t="s">
        <v>46</v>
      </c>
    </row>
    <row r="15" spans="2:9" ht="57.6" x14ac:dyDescent="0.3">
      <c r="B15" t="str">
        <f>Temporary!N6&amp;Temporary!R6&amp;Temporary!O6</f>
        <v>(二)</v>
      </c>
      <c r="C15" s="5"/>
      <c r="D15" s="7" t="s">
        <v>136</v>
      </c>
      <c r="E15" s="7" t="s">
        <v>172</v>
      </c>
      <c r="G15" s="5" t="s">
        <v>37</v>
      </c>
      <c r="H15" s="5" t="s">
        <v>33</v>
      </c>
    </row>
    <row r="16" spans="2:9" ht="57.6" x14ac:dyDescent="0.3">
      <c r="B16" t="str">
        <f>Temporary!N7&amp;Temporary!R7&amp;Temporary!O7</f>
        <v>(三)</v>
      </c>
      <c r="C16" s="5"/>
      <c r="D16" s="7" t="s">
        <v>137</v>
      </c>
      <c r="E16" s="7" t="s">
        <v>172</v>
      </c>
      <c r="G16" s="5" t="s">
        <v>38</v>
      </c>
      <c r="H16" s="5" t="s">
        <v>34</v>
      </c>
    </row>
    <row r="17" spans="2:7" ht="43.2" x14ac:dyDescent="0.3">
      <c r="B17" t="str">
        <f>Temporary!N8&amp;Temporary!R8&amp;Temporary!O8</f>
        <v>(四)</v>
      </c>
      <c r="C17" s="5"/>
      <c r="D17" s="7" t="s">
        <v>138</v>
      </c>
      <c r="E17" s="7"/>
      <c r="G17" s="5" t="s">
        <v>39</v>
      </c>
    </row>
    <row r="18" spans="2:7" ht="28.8" x14ac:dyDescent="0.3">
      <c r="B18" t="str">
        <f>Temporary!N9&amp;Temporary!R9&amp;Temporary!O9</f>
        <v>(五)</v>
      </c>
      <c r="C18" s="5" t="s">
        <v>139</v>
      </c>
      <c r="D18" s="7" t="s">
        <v>140</v>
      </c>
      <c r="E18" s="7"/>
      <c r="G18" s="5" t="s">
        <v>40</v>
      </c>
    </row>
    <row r="19" spans="2:7" ht="43.2" x14ac:dyDescent="0.3">
      <c r="B19" t="str">
        <f>Temporary!N10&amp;Temporary!R10&amp;Temporary!O10</f>
        <v>(六)</v>
      </c>
      <c r="C19" s="5"/>
      <c r="D19" s="7" t="s">
        <v>141</v>
      </c>
      <c r="E19" s="7"/>
      <c r="G19" s="5" t="s">
        <v>41</v>
      </c>
    </row>
    <row r="20" spans="2:7" ht="28.8" x14ac:dyDescent="0.3">
      <c r="B20" t="str">
        <f>Temporary!N11&amp;Temporary!R11&amp;Temporary!O11</f>
        <v>(七)</v>
      </c>
      <c r="C20" s="5"/>
      <c r="D20" s="7" t="s">
        <v>142</v>
      </c>
      <c r="E20" s="7"/>
      <c r="G20" s="5" t="s">
        <v>42</v>
      </c>
    </row>
    <row r="21" spans="2:7" ht="21.6" customHeight="1" x14ac:dyDescent="0.3">
      <c r="B21" t="str">
        <f>Temporary!N12&amp;Temporary!R12&amp;Temporary!O12</f>
        <v>(八)</v>
      </c>
      <c r="D21" s="7" t="s">
        <v>143</v>
      </c>
      <c r="E21" s="7"/>
      <c r="G21" s="5" t="s">
        <v>43</v>
      </c>
    </row>
    <row r="22" spans="2:7" ht="21.6" customHeight="1" x14ac:dyDescent="0.3">
      <c r="B22" t="str">
        <f>Temporary!N13&amp;Temporary!R13&amp;Temporary!O13</f>
        <v>(九)</v>
      </c>
      <c r="D22" s="7" t="s">
        <v>144</v>
      </c>
      <c r="E22" s="7"/>
    </row>
    <row r="23" spans="2:7" ht="21.6" customHeight="1" x14ac:dyDescent="0.3">
      <c r="B23" t="str">
        <f>Temporary!N14&amp;Temporary!R14&amp;Temporary!O14</f>
        <v>(十)</v>
      </c>
      <c r="C23" s="5" t="s">
        <v>145</v>
      </c>
      <c r="D23" s="7" t="s">
        <v>146</v>
      </c>
      <c r="E23" s="7"/>
    </row>
    <row r="24" spans="2:7" ht="21.6" customHeight="1" x14ac:dyDescent="0.3">
      <c r="B24" t="str">
        <f>Temporary!N15&amp;Temporary!R15&amp;Temporary!O15</f>
        <v>(十一)</v>
      </c>
      <c r="D24" s="7" t="s">
        <v>147</v>
      </c>
      <c r="E24" s="7"/>
    </row>
    <row r="25" spans="2:7" ht="21.6" customHeight="1" x14ac:dyDescent="0.3">
      <c r="B25" t="str">
        <f>Temporary!N16&amp;Temporary!R16&amp;Temporary!O16</f>
        <v>(十二)</v>
      </c>
      <c r="D25" s="7" t="s">
        <v>148</v>
      </c>
      <c r="E25" s="7"/>
    </row>
    <row r="26" spans="2:7" ht="21.6" customHeight="1" x14ac:dyDescent="0.3">
      <c r="B26" t="str">
        <f>Temporary!N17&amp;Temporary!R17&amp;Temporary!O17</f>
        <v>(十三)</v>
      </c>
      <c r="D26" s="7" t="s">
        <v>149</v>
      </c>
      <c r="E26" s="7"/>
    </row>
    <row r="27" spans="2:7" ht="21.6" customHeight="1" x14ac:dyDescent="0.3">
      <c r="B27" t="str">
        <f>Temporary!N18&amp;Temporary!R18&amp;Temporary!O18</f>
        <v>(十四)</v>
      </c>
      <c r="D27" s="7" t="s">
        <v>150</v>
      </c>
      <c r="E27" s="7"/>
    </row>
    <row r="28" spans="2:7" ht="21.6" customHeight="1" x14ac:dyDescent="0.3">
      <c r="B28" t="str">
        <f>Temporary!N19&amp;Temporary!R19&amp;Temporary!O19</f>
        <v>(十五)</v>
      </c>
      <c r="C28" s="5" t="s">
        <v>152</v>
      </c>
      <c r="D28" s="7" t="s">
        <v>153</v>
      </c>
      <c r="E28" s="7"/>
    </row>
    <row r="29" spans="2:7" ht="21.6" customHeight="1" x14ac:dyDescent="0.3">
      <c r="B29" t="str">
        <f>Temporary!N20&amp;Temporary!R20&amp;Temporary!O20</f>
        <v>(十六)</v>
      </c>
      <c r="D29" s="7" t="s">
        <v>154</v>
      </c>
      <c r="E29" s="7"/>
    </row>
    <row r="30" spans="2:7" ht="21.6" customHeight="1" x14ac:dyDescent="0.3">
      <c r="B30" t="str">
        <f>Temporary!N21&amp;Temporary!R21&amp;Temporary!O21</f>
        <v>(十七)</v>
      </c>
      <c r="D30" s="7" t="s">
        <v>155</v>
      </c>
      <c r="E30" s="7"/>
    </row>
    <row r="31" spans="2:7" ht="21.6" customHeight="1" x14ac:dyDescent="0.3">
      <c r="B31" t="str">
        <f>Temporary!N22&amp;Temporary!R22&amp;Temporary!O22</f>
        <v>(十八)</v>
      </c>
      <c r="D31" s="7" t="s">
        <v>154</v>
      </c>
      <c r="E31" s="7"/>
    </row>
    <row r="32" spans="2:7" ht="21.6" customHeight="1" x14ac:dyDescent="0.3">
      <c r="B32" t="str">
        <f>Temporary!N23&amp;Temporary!R23&amp;Temporary!O23</f>
        <v>(十九)</v>
      </c>
      <c r="D32" s="7" t="s">
        <v>23</v>
      </c>
      <c r="E32" s="7"/>
    </row>
    <row r="33" spans="2:2" ht="21.6" customHeight="1" x14ac:dyDescent="0.3">
      <c r="B33" t="str">
        <f>Temporary!N24&amp;Temporary!R24&amp;Temporary!O24</f>
        <v>(二十)</v>
      </c>
    </row>
    <row r="34" spans="2:2" ht="21.6" customHeight="1" x14ac:dyDescent="0.3">
      <c r="B34" t="str">
        <f>Temporary!N25&amp;Temporary!R25&amp;Temporary!O25</f>
        <v/>
      </c>
    </row>
    <row r="35" spans="2:2" ht="21.6" customHeight="1" x14ac:dyDescent="0.3">
      <c r="B35" t="str">
        <f>Temporary!N26&amp;Temporary!R26&amp;Temporary!O26</f>
        <v/>
      </c>
    </row>
    <row r="36" spans="2:2" ht="21.6" customHeight="1" x14ac:dyDescent="0.3">
      <c r="B36" t="str">
        <f>Temporary!N27&amp;Temporary!R27&amp;Temporary!O27</f>
        <v/>
      </c>
    </row>
    <row r="37" spans="2:2" ht="21.6" customHeight="1" x14ac:dyDescent="0.3">
      <c r="B37" t="str">
        <f>Temporary!N28&amp;Temporary!R28&amp;Temporary!O28</f>
        <v/>
      </c>
    </row>
    <row r="38" spans="2:2" ht="21.6" customHeight="1" x14ac:dyDescent="0.3">
      <c r="B38" t="str">
        <f>Temporary!N29&amp;Temporary!R29&amp;Temporary!O29</f>
        <v/>
      </c>
    </row>
    <row r="39" spans="2:2" ht="21.6" customHeight="1" x14ac:dyDescent="0.3">
      <c r="B39" t="str">
        <f>Temporary!N30&amp;Temporary!R30&amp;Temporary!O30</f>
        <v/>
      </c>
    </row>
    <row r="40" spans="2:2" ht="21.6" customHeight="1" x14ac:dyDescent="0.3">
      <c r="B40" t="str">
        <f>Temporary!N31&amp;Temporary!R31&amp;Temporary!O31</f>
        <v/>
      </c>
    </row>
    <row r="41" spans="2:2" ht="21.6" customHeight="1" x14ac:dyDescent="0.3">
      <c r="B41" t="str">
        <f>Temporary!N32&amp;Temporary!R32&amp;Temporary!O32</f>
        <v/>
      </c>
    </row>
    <row r="42" spans="2:2" ht="21.6" customHeight="1" x14ac:dyDescent="0.3">
      <c r="B42" t="str">
        <f>Temporary!N33&amp;Temporary!R33&amp;Temporary!O33</f>
        <v/>
      </c>
    </row>
    <row r="43" spans="2:2" ht="21.6" customHeight="1" x14ac:dyDescent="0.3">
      <c r="B43" t="str">
        <f>Temporary!N34&amp;Temporary!R34&amp;Temporary!O34</f>
        <v/>
      </c>
    </row>
    <row r="44" spans="2:2" ht="21.6" customHeight="1" x14ac:dyDescent="0.3">
      <c r="B44" t="str">
        <f>Temporary!N35&amp;Temporary!R35&amp;Temporary!O35</f>
        <v/>
      </c>
    </row>
    <row r="45" spans="2:2" ht="21.6" customHeight="1" x14ac:dyDescent="0.3">
      <c r="B45" t="str">
        <f>Temporary!N36&amp;Temporary!R36&amp;Temporary!O36</f>
        <v/>
      </c>
    </row>
    <row r="46" spans="2:2" ht="21.6" customHeight="1" x14ac:dyDescent="0.3">
      <c r="B46" t="str">
        <f>Temporary!N37&amp;Temporary!R37&amp;Temporary!O37</f>
        <v/>
      </c>
    </row>
    <row r="47" spans="2:2" ht="21.6" customHeight="1" x14ac:dyDescent="0.3">
      <c r="B47" t="str">
        <f>Temporary!N38&amp;Temporary!R38&amp;Temporary!O38</f>
        <v/>
      </c>
    </row>
    <row r="48" spans="2:2" ht="21.6" customHeight="1" x14ac:dyDescent="0.3">
      <c r="B48" t="str">
        <f>Temporary!N39&amp;Temporary!R39&amp;Temporary!O39</f>
        <v/>
      </c>
    </row>
    <row r="49" spans="2:2" ht="21.6" customHeight="1" x14ac:dyDescent="0.3">
      <c r="B49" t="str">
        <f>Temporary!N40&amp;Temporary!R40&amp;Temporary!O40</f>
        <v/>
      </c>
    </row>
    <row r="50" spans="2:2" ht="21.6" customHeight="1" x14ac:dyDescent="0.3">
      <c r="B50" t="str">
        <f>Temporary!N41&amp;Temporary!R41&amp;Temporary!O41</f>
        <v/>
      </c>
    </row>
    <row r="51" spans="2:2" ht="21.6" customHeight="1" x14ac:dyDescent="0.3">
      <c r="B51" t="str">
        <f>Temporary!N42&amp;Temporary!R42&amp;Temporary!O42</f>
        <v/>
      </c>
    </row>
    <row r="52" spans="2:2" ht="21.6" customHeight="1" x14ac:dyDescent="0.3">
      <c r="B52" t="str">
        <f>Temporary!N43&amp;Temporary!R43&amp;Temporary!O43</f>
        <v/>
      </c>
    </row>
    <row r="53" spans="2:2" ht="21.6" customHeight="1" x14ac:dyDescent="0.3">
      <c r="B53" t="str">
        <f>Temporary!N44&amp;Temporary!R44&amp;Temporary!O44</f>
        <v/>
      </c>
    </row>
    <row r="54" spans="2:2" ht="21.6" customHeight="1" x14ac:dyDescent="0.3">
      <c r="B54" t="str">
        <f>Temporary!N45&amp;Temporary!R45&amp;Temporary!O45</f>
        <v/>
      </c>
    </row>
    <row r="55" spans="2:2" ht="21.6" customHeight="1" x14ac:dyDescent="0.3">
      <c r="B55" t="str">
        <f>Temporary!N46&amp;Temporary!R46&amp;Temporary!O46</f>
        <v/>
      </c>
    </row>
    <row r="56" spans="2:2" ht="21.6" customHeight="1" x14ac:dyDescent="0.3">
      <c r="B56" t="str">
        <f>Temporary!N47&amp;Temporary!R47&amp;Temporary!O47</f>
        <v/>
      </c>
    </row>
    <row r="57" spans="2:2" ht="21.6" customHeight="1" x14ac:dyDescent="0.3">
      <c r="B57" t="str">
        <f>Temporary!N48&amp;Temporary!R48&amp;Temporary!O48</f>
        <v/>
      </c>
    </row>
    <row r="58" spans="2:2" ht="21.6" customHeight="1" x14ac:dyDescent="0.3">
      <c r="B58" t="str">
        <f>Temporary!N49&amp;Temporary!R49&amp;Temporary!O49</f>
        <v/>
      </c>
    </row>
    <row r="59" spans="2:2" ht="21.6" customHeight="1" x14ac:dyDescent="0.3">
      <c r="B59" t="str">
        <f>Temporary!N50&amp;Temporary!R50&amp;Temporary!O50</f>
        <v/>
      </c>
    </row>
    <row r="60" spans="2:2" ht="21.6" customHeight="1" x14ac:dyDescent="0.3">
      <c r="B60" t="str">
        <f>Temporary!N51&amp;Temporary!R51&amp;Temporary!O51</f>
        <v/>
      </c>
    </row>
    <row r="61" spans="2:2" ht="21.6" customHeight="1" x14ac:dyDescent="0.3">
      <c r="B61" t="str">
        <f>Temporary!N52&amp;Temporary!R52&amp;Temporary!O52</f>
        <v/>
      </c>
    </row>
    <row r="62" spans="2:2" ht="21.6" customHeight="1" x14ac:dyDescent="0.3">
      <c r="B62" t="str">
        <f>Temporary!N53&amp;Temporary!R53&amp;Temporary!O53</f>
        <v/>
      </c>
    </row>
    <row r="63" spans="2:2" ht="21.6" customHeight="1" x14ac:dyDescent="0.3">
      <c r="B63" t="str">
        <f>Temporary!N54&amp;Temporary!R54&amp;Temporary!O54</f>
        <v/>
      </c>
    </row>
    <row r="64" spans="2:2" ht="21.6" customHeight="1" x14ac:dyDescent="0.3">
      <c r="B64" t="str">
        <f>Temporary!N55&amp;Temporary!R55&amp;Temporary!O55</f>
        <v/>
      </c>
    </row>
    <row r="65" spans="2:2" ht="21.6" customHeight="1" x14ac:dyDescent="0.3">
      <c r="B65" t="str">
        <f>Temporary!N56&amp;Temporary!R56&amp;Temporary!O56</f>
        <v/>
      </c>
    </row>
    <row r="66" spans="2:2" ht="21.6" customHeight="1" x14ac:dyDescent="0.3">
      <c r="B66" t="str">
        <f>Temporary!N57&amp;Temporary!R57&amp;Temporary!O57</f>
        <v/>
      </c>
    </row>
    <row r="67" spans="2:2" ht="21.6" customHeight="1" x14ac:dyDescent="0.3">
      <c r="B67" t="str">
        <f>Temporary!N58&amp;Temporary!R58&amp;Temporary!O58</f>
        <v/>
      </c>
    </row>
    <row r="68" spans="2:2" ht="21.6" customHeight="1" x14ac:dyDescent="0.3">
      <c r="B68" t="str">
        <f>Temporary!N59&amp;Temporary!R59&amp;Temporary!O59</f>
        <v/>
      </c>
    </row>
    <row r="69" spans="2:2" ht="21.6" customHeight="1" x14ac:dyDescent="0.3">
      <c r="B69" t="str">
        <f>Temporary!N60&amp;Temporary!R60&amp;Temporary!O60</f>
        <v/>
      </c>
    </row>
    <row r="70" spans="2:2" ht="21.6" customHeight="1" x14ac:dyDescent="0.3">
      <c r="B70" t="str">
        <f>Temporary!N61&amp;Temporary!R61&amp;Temporary!O61</f>
        <v/>
      </c>
    </row>
    <row r="71" spans="2:2" ht="21.6" customHeight="1" x14ac:dyDescent="0.3">
      <c r="B71" t="str">
        <f>Temporary!N62&amp;Temporary!R62&amp;Temporary!O62</f>
        <v/>
      </c>
    </row>
    <row r="72" spans="2:2" ht="21.6" customHeight="1" x14ac:dyDescent="0.3">
      <c r="B72" t="str">
        <f>Temporary!N63&amp;Temporary!R63&amp;Temporary!O63</f>
        <v/>
      </c>
    </row>
    <row r="73" spans="2:2" ht="21.6" customHeight="1" x14ac:dyDescent="0.3">
      <c r="B73" t="str">
        <f>Temporary!N64&amp;Temporary!R64&amp;Temporary!O64</f>
        <v/>
      </c>
    </row>
    <row r="74" spans="2:2" ht="21.6" customHeight="1" x14ac:dyDescent="0.3">
      <c r="B74" t="str">
        <f>Temporary!N65&amp;Temporary!R65&amp;Temporary!O65</f>
        <v/>
      </c>
    </row>
    <row r="75" spans="2:2" ht="21.6" customHeight="1" x14ac:dyDescent="0.3">
      <c r="B75" t="str">
        <f>Temporary!N66&amp;Temporary!R66&amp;Temporary!O66</f>
        <v/>
      </c>
    </row>
    <row r="76" spans="2:2" ht="21.6" customHeight="1" x14ac:dyDescent="0.3">
      <c r="B76" t="str">
        <f>Temporary!N67&amp;Temporary!R67&amp;Temporary!O67</f>
        <v/>
      </c>
    </row>
    <row r="77" spans="2:2" ht="21.6" customHeight="1" x14ac:dyDescent="0.3">
      <c r="B77" t="str">
        <f>Temporary!N68&amp;Temporary!R68&amp;Temporary!O68</f>
        <v/>
      </c>
    </row>
    <row r="78" spans="2:2" ht="21.6" customHeight="1" x14ac:dyDescent="0.3">
      <c r="B78" t="str">
        <f>Temporary!N69&amp;Temporary!R69&amp;Temporary!O69</f>
        <v/>
      </c>
    </row>
    <row r="79" spans="2:2" ht="21.6" customHeight="1" x14ac:dyDescent="0.3">
      <c r="B79" t="str">
        <f>Temporary!N70&amp;Temporary!R70&amp;Temporary!O70</f>
        <v/>
      </c>
    </row>
    <row r="80" spans="2:2" ht="21.6" customHeight="1" x14ac:dyDescent="0.3">
      <c r="B80" t="str">
        <f>Temporary!N71&amp;Temporary!R71&amp;Temporary!O71</f>
        <v/>
      </c>
    </row>
    <row r="81" spans="2:2" ht="21.6" customHeight="1" x14ac:dyDescent="0.3">
      <c r="B81" t="str">
        <f>Temporary!N72&amp;Temporary!R72&amp;Temporary!O72</f>
        <v/>
      </c>
    </row>
    <row r="82" spans="2:2" ht="21.6" customHeight="1" x14ac:dyDescent="0.3">
      <c r="B82" t="str">
        <f>Temporary!N73&amp;Temporary!R73&amp;Temporary!O73</f>
        <v/>
      </c>
    </row>
    <row r="83" spans="2:2" ht="21.6" customHeight="1" x14ac:dyDescent="0.3">
      <c r="B83" t="str">
        <f>Temporary!N74&amp;Temporary!R74&amp;Temporary!O74</f>
        <v/>
      </c>
    </row>
    <row r="84" spans="2:2" ht="21.6" customHeight="1" x14ac:dyDescent="0.3">
      <c r="B84" t="str">
        <f>Temporary!N75&amp;Temporary!R75&amp;Temporary!O75</f>
        <v/>
      </c>
    </row>
    <row r="85" spans="2:2" ht="21.6" customHeight="1" x14ac:dyDescent="0.3">
      <c r="B85" t="str">
        <f>Temporary!N76&amp;Temporary!R76&amp;Temporary!O76</f>
        <v/>
      </c>
    </row>
    <row r="86" spans="2:2" ht="21.6" customHeight="1" x14ac:dyDescent="0.3">
      <c r="B86" t="str">
        <f>Temporary!N77&amp;Temporary!R77&amp;Temporary!O77</f>
        <v/>
      </c>
    </row>
    <row r="87" spans="2:2" ht="21.6" customHeight="1" x14ac:dyDescent="0.3">
      <c r="B87" t="str">
        <f>Temporary!N78&amp;Temporary!R78&amp;Temporary!O78</f>
        <v/>
      </c>
    </row>
    <row r="88" spans="2:2" ht="21.6" customHeight="1" x14ac:dyDescent="0.3">
      <c r="B88" t="str">
        <f>Temporary!N79&amp;Temporary!R79&amp;Temporary!O79</f>
        <v/>
      </c>
    </row>
    <row r="89" spans="2:2" ht="21.6" customHeight="1" x14ac:dyDescent="0.3">
      <c r="B89" t="str">
        <f>Temporary!N80&amp;Temporary!R80&amp;Temporary!O80</f>
        <v/>
      </c>
    </row>
    <row r="90" spans="2:2" ht="21.6" customHeight="1" x14ac:dyDescent="0.3">
      <c r="B90" t="str">
        <f>Temporary!N81&amp;Temporary!R81&amp;Temporary!O81</f>
        <v/>
      </c>
    </row>
    <row r="91" spans="2:2" ht="21.6" customHeight="1" x14ac:dyDescent="0.3">
      <c r="B91" t="str">
        <f>Temporary!N82&amp;Temporary!R82&amp;Temporary!O82</f>
        <v/>
      </c>
    </row>
    <row r="92" spans="2:2" ht="21.6" customHeight="1" x14ac:dyDescent="0.3">
      <c r="B92" t="str">
        <f>Temporary!N83&amp;Temporary!R83&amp;Temporary!O83</f>
        <v/>
      </c>
    </row>
    <row r="93" spans="2:2" ht="21.6" customHeight="1" x14ac:dyDescent="0.3">
      <c r="B93" t="str">
        <f>Temporary!N84&amp;Temporary!R84&amp;Temporary!O84</f>
        <v/>
      </c>
    </row>
    <row r="94" spans="2:2" ht="21.6" customHeight="1" x14ac:dyDescent="0.3">
      <c r="B94" t="str">
        <f>Temporary!N85&amp;Temporary!R85&amp;Temporary!O85</f>
        <v/>
      </c>
    </row>
    <row r="95" spans="2:2" ht="21.6" customHeight="1" x14ac:dyDescent="0.3">
      <c r="B95" t="str">
        <f>Temporary!N86&amp;Temporary!R86&amp;Temporary!O86</f>
        <v/>
      </c>
    </row>
    <row r="96" spans="2:2" ht="21.6" customHeight="1" x14ac:dyDescent="0.3">
      <c r="B96" t="str">
        <f>Temporary!N87&amp;Temporary!R87&amp;Temporary!O87</f>
        <v/>
      </c>
    </row>
    <row r="97" spans="2:2" ht="21.6" customHeight="1" x14ac:dyDescent="0.3">
      <c r="B97" t="str">
        <f>Temporary!N88&amp;Temporary!R88&amp;Temporary!O88</f>
        <v/>
      </c>
    </row>
    <row r="98" spans="2:2" ht="21.6" customHeight="1" x14ac:dyDescent="0.3">
      <c r="B98" t="str">
        <f>Temporary!N89&amp;Temporary!R89&amp;Temporary!O89</f>
        <v/>
      </c>
    </row>
    <row r="99" spans="2:2" ht="21.6" customHeight="1" x14ac:dyDescent="0.3">
      <c r="B99" t="str">
        <f>Temporary!N90&amp;Temporary!R90&amp;Temporary!O90</f>
        <v/>
      </c>
    </row>
    <row r="100" spans="2:2" ht="21.6" customHeight="1" x14ac:dyDescent="0.3">
      <c r="B100" t="str">
        <f>Temporary!N91&amp;Temporary!R91&amp;Temporary!O91</f>
        <v/>
      </c>
    </row>
    <row r="101" spans="2:2" ht="21.6" customHeight="1" x14ac:dyDescent="0.3">
      <c r="B101" t="str">
        <f>Temporary!N92&amp;Temporary!R92&amp;Temporary!O92</f>
        <v/>
      </c>
    </row>
    <row r="102" spans="2:2" ht="21.6" customHeight="1" x14ac:dyDescent="0.3">
      <c r="B102" t="str">
        <f>Temporary!N93&amp;Temporary!R93&amp;Temporary!O93</f>
        <v/>
      </c>
    </row>
    <row r="103" spans="2:2" ht="21.6" customHeight="1" x14ac:dyDescent="0.3">
      <c r="B103" t="str">
        <f>Temporary!N94&amp;Temporary!R94&amp;Temporary!O94</f>
        <v/>
      </c>
    </row>
    <row r="104" spans="2:2" ht="21.6" customHeight="1" x14ac:dyDescent="0.3">
      <c r="B104" t="str">
        <f>Temporary!N95&amp;Temporary!R95&amp;Temporary!O95</f>
        <v/>
      </c>
    </row>
    <row r="105" spans="2:2" ht="21.6" customHeight="1" x14ac:dyDescent="0.3">
      <c r="B105" t="str">
        <f>Temporary!N96&amp;Temporary!R96&amp;Temporary!O96</f>
        <v/>
      </c>
    </row>
    <row r="106" spans="2:2" ht="21.6" customHeight="1" x14ac:dyDescent="0.3">
      <c r="B106" t="str">
        <f>Temporary!N97&amp;Temporary!R97&amp;Temporary!O97</f>
        <v/>
      </c>
    </row>
    <row r="107" spans="2:2" ht="21.6" customHeight="1" x14ac:dyDescent="0.3">
      <c r="B107" t="str">
        <f>Temporary!N98&amp;Temporary!R98&amp;Temporary!O98</f>
        <v/>
      </c>
    </row>
    <row r="108" spans="2:2" ht="21.6" customHeight="1" x14ac:dyDescent="0.3">
      <c r="B108" t="str">
        <f>Temporary!N99&amp;Temporary!R99&amp;Temporary!O99</f>
        <v/>
      </c>
    </row>
    <row r="109" spans="2:2" ht="21.6" customHeight="1" x14ac:dyDescent="0.3">
      <c r="B109" t="str">
        <f>Temporary!N100&amp;Temporary!R100&amp;Temporary!O100</f>
        <v/>
      </c>
    </row>
    <row r="110" spans="2:2" ht="21.6" customHeight="1" x14ac:dyDescent="0.3">
      <c r="B110" t="str">
        <f>Temporary!N101&amp;Temporary!R101&amp;Temporary!O101</f>
        <v/>
      </c>
    </row>
    <row r="111" spans="2:2" ht="21.6" customHeight="1" x14ac:dyDescent="0.3">
      <c r="B111" t="str">
        <f>Temporary!N102&amp;Temporary!R102&amp;Temporary!O102</f>
        <v/>
      </c>
    </row>
    <row r="112" spans="2:2" ht="21.6" customHeight="1" x14ac:dyDescent="0.3">
      <c r="B112" t="str">
        <f>Temporary!N103&amp;Temporary!R103&amp;Temporary!O103</f>
        <v/>
      </c>
    </row>
    <row r="113" spans="2:2" ht="21.6" customHeight="1" x14ac:dyDescent="0.3">
      <c r="B113" t="str">
        <f>Temporary!N104&amp;Temporary!R104&amp;Temporary!O104</f>
        <v/>
      </c>
    </row>
    <row r="114" spans="2:2" ht="21.6" customHeight="1" x14ac:dyDescent="0.3">
      <c r="B114" t="str">
        <f>Temporary!N105&amp;Temporary!R105&amp;Temporary!O105</f>
        <v/>
      </c>
    </row>
    <row r="115" spans="2:2" ht="21.6" customHeight="1" x14ac:dyDescent="0.3">
      <c r="B115" t="str">
        <f>Temporary!N106&amp;Temporary!R106&amp;Temporary!O106</f>
        <v/>
      </c>
    </row>
    <row r="116" spans="2:2" ht="21.6" customHeight="1" x14ac:dyDescent="0.3">
      <c r="B116" t="str">
        <f>Temporary!N107&amp;Temporary!R107&amp;Temporary!O107</f>
        <v/>
      </c>
    </row>
    <row r="117" spans="2:2" ht="21.6" customHeight="1" x14ac:dyDescent="0.3">
      <c r="B117" t="str">
        <f>Temporary!N108&amp;Temporary!R108&amp;Temporary!O108</f>
        <v/>
      </c>
    </row>
    <row r="118" spans="2:2" ht="21.6" customHeight="1" x14ac:dyDescent="0.3">
      <c r="B118" t="str">
        <f>Temporary!N109&amp;Temporary!R109&amp;Temporary!O109</f>
        <v/>
      </c>
    </row>
    <row r="119" spans="2:2" ht="21.6" customHeight="1" x14ac:dyDescent="0.3">
      <c r="B119" t="str">
        <f>Temporary!N110&amp;Temporary!R110&amp;Temporary!O110</f>
        <v/>
      </c>
    </row>
    <row r="120" spans="2:2" ht="21.6" customHeight="1" x14ac:dyDescent="0.3">
      <c r="B120" t="str">
        <f>Temporary!N111&amp;Temporary!R111&amp;Temporary!O111</f>
        <v/>
      </c>
    </row>
    <row r="121" spans="2:2" ht="21.6" customHeight="1" x14ac:dyDescent="0.3">
      <c r="B121" t="str">
        <f>Temporary!N112&amp;Temporary!R112&amp;Temporary!O112</f>
        <v/>
      </c>
    </row>
    <row r="122" spans="2:2" ht="21.6" customHeight="1" x14ac:dyDescent="0.3">
      <c r="B122" t="str">
        <f>Temporary!N113&amp;Temporary!R113&amp;Temporary!O113</f>
        <v/>
      </c>
    </row>
    <row r="123" spans="2:2" ht="21.6" customHeight="1" x14ac:dyDescent="0.3">
      <c r="B123" t="str">
        <f>Temporary!N114&amp;Temporary!R114&amp;Temporary!O114</f>
        <v/>
      </c>
    </row>
    <row r="124" spans="2:2" ht="21.6" customHeight="1" x14ac:dyDescent="0.3">
      <c r="B124" t="str">
        <f>Temporary!N115&amp;Temporary!R115&amp;Temporary!O115</f>
        <v/>
      </c>
    </row>
    <row r="125" spans="2:2" ht="21.6" customHeight="1" x14ac:dyDescent="0.3">
      <c r="B125" t="str">
        <f>Temporary!N116&amp;Temporary!R116&amp;Temporary!O116</f>
        <v/>
      </c>
    </row>
    <row r="126" spans="2:2" ht="21.6" customHeight="1" x14ac:dyDescent="0.3">
      <c r="B126" t="str">
        <f>Temporary!N117&amp;Temporary!R117&amp;Temporary!O117</f>
        <v/>
      </c>
    </row>
    <row r="127" spans="2:2" ht="21.6" customHeight="1" x14ac:dyDescent="0.3">
      <c r="B127" t="str">
        <f>Temporary!N118&amp;Temporary!R118&amp;Temporary!O118</f>
        <v/>
      </c>
    </row>
    <row r="128" spans="2:2" ht="21.6" customHeight="1" x14ac:dyDescent="0.3">
      <c r="B128" t="str">
        <f>Temporary!N119&amp;Temporary!R119&amp;Temporary!O119</f>
        <v/>
      </c>
    </row>
    <row r="129" spans="2:2" ht="21.6" customHeight="1" x14ac:dyDescent="0.3">
      <c r="B129" t="str">
        <f>Temporary!N120&amp;Temporary!R120&amp;Temporary!O120</f>
        <v/>
      </c>
    </row>
    <row r="130" spans="2:2" ht="21.6" customHeight="1" x14ac:dyDescent="0.3">
      <c r="B130" t="str">
        <f>Temporary!N121&amp;Temporary!R121&amp;Temporary!O121</f>
        <v/>
      </c>
    </row>
    <row r="131" spans="2:2" ht="21.6" customHeight="1" x14ac:dyDescent="0.3">
      <c r="B131" t="str">
        <f>Temporary!N122&amp;Temporary!R122&amp;Temporary!O122</f>
        <v/>
      </c>
    </row>
    <row r="132" spans="2:2" ht="21.6" customHeight="1" x14ac:dyDescent="0.3">
      <c r="B132" t="str">
        <f>Temporary!N123&amp;Temporary!R123&amp;Temporary!O123</f>
        <v/>
      </c>
    </row>
    <row r="133" spans="2:2" ht="21.6" customHeight="1" x14ac:dyDescent="0.3">
      <c r="B133" t="str">
        <f>Temporary!N124&amp;Temporary!R124&amp;Temporary!O124</f>
        <v/>
      </c>
    </row>
  </sheetData>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sqref="A1:B1048576"/>
    </sheetView>
  </sheetViews>
  <sheetFormatPr defaultRowHeight="16.2" x14ac:dyDescent="0.3"/>
  <cols>
    <col min="1" max="1" width="24.5546875" style="15" customWidth="1"/>
    <col min="2" max="2" width="143.21875" style="15" bestFit="1" customWidth="1"/>
    <col min="3" max="3" width="8.88671875" style="15" customWidth="1"/>
    <col min="4" max="4" width="41.5546875" style="12" customWidth="1"/>
    <col min="5" max="5" width="8.88671875" style="15"/>
    <col min="6" max="6" width="19.33203125" style="15" bestFit="1" customWidth="1"/>
    <col min="7" max="7" width="42.88671875" style="15" bestFit="1" customWidth="1"/>
    <col min="8" max="8" width="58.33203125" style="15" bestFit="1" customWidth="1"/>
    <col min="9" max="9" width="20.77734375" style="15" bestFit="1" customWidth="1"/>
    <col min="10" max="10" width="7.77734375" style="15" bestFit="1" customWidth="1"/>
    <col min="11" max="11" width="35.6640625" style="15" bestFit="1" customWidth="1"/>
    <col min="12" max="12" width="9" style="15" customWidth="1"/>
    <col min="13" max="13" width="8.88671875" style="15"/>
    <col min="14" max="14" width="10.44140625" style="15" bestFit="1" customWidth="1"/>
    <col min="15" max="18" width="8.88671875" style="15"/>
    <col min="19" max="19" width="8.88671875" style="55"/>
    <col min="20" max="16384" width="8.88671875" style="15"/>
  </cols>
  <sheetData>
    <row r="1" spans="1:20" x14ac:dyDescent="0.3">
      <c r="A1" s="14" t="s">
        <v>24</v>
      </c>
      <c r="B1" s="14" t="s">
        <v>3</v>
      </c>
    </row>
    <row r="2" spans="1:20" ht="16.8" thickBot="1" x14ac:dyDescent="0.35">
      <c r="A2" s="15" t="s">
        <v>134</v>
      </c>
    </row>
    <row r="3" spans="1:20" ht="16.8" thickBot="1" x14ac:dyDescent="0.35">
      <c r="B3" s="15" t="s">
        <v>135</v>
      </c>
      <c r="N3" s="42" t="s">
        <v>115</v>
      </c>
    </row>
    <row r="4" spans="1:20" ht="16.8" thickBot="1" x14ac:dyDescent="0.35">
      <c r="B4" s="15" t="s">
        <v>138</v>
      </c>
      <c r="D4" s="12" t="s">
        <v>71</v>
      </c>
      <c r="F4" t="s">
        <v>68</v>
      </c>
      <c r="G4" s="15" t="s">
        <v>29</v>
      </c>
      <c r="H4" s="15" t="s">
        <v>31</v>
      </c>
      <c r="I4" s="15" t="s">
        <v>53</v>
      </c>
      <c r="J4"/>
      <c r="K4" s="15" t="s">
        <v>27</v>
      </c>
      <c r="N4" s="43" t="s">
        <v>99</v>
      </c>
      <c r="O4" s="44" t="s">
        <v>100</v>
      </c>
      <c r="P4" s="44" t="s">
        <v>101</v>
      </c>
      <c r="Q4" s="44" t="s">
        <v>102</v>
      </c>
      <c r="R4" s="44" t="s">
        <v>96</v>
      </c>
      <c r="S4" s="58" t="s">
        <v>103</v>
      </c>
      <c r="T4" s="45" t="s">
        <v>124</v>
      </c>
    </row>
    <row r="5" spans="1:20" x14ac:dyDescent="0.3">
      <c r="B5" s="15" t="s">
        <v>136</v>
      </c>
      <c r="D5" s="33" t="s">
        <v>82</v>
      </c>
      <c r="F5" t="s">
        <v>46</v>
      </c>
      <c r="G5" t="s">
        <v>56</v>
      </c>
      <c r="H5" s="15" t="s">
        <v>65</v>
      </c>
      <c r="I5" s="15" t="s">
        <v>69</v>
      </c>
      <c r="J5"/>
      <c r="K5" s="15" t="s">
        <v>134</v>
      </c>
      <c r="N5" s="47" t="s">
        <v>94</v>
      </c>
      <c r="O5" s="47" t="s">
        <v>95</v>
      </c>
      <c r="P5" s="47" t="s">
        <v>104</v>
      </c>
      <c r="Q5" s="47" t="s">
        <v>105</v>
      </c>
      <c r="R5" s="47" t="s">
        <v>83</v>
      </c>
      <c r="S5" s="56">
        <v>1</v>
      </c>
      <c r="T5" s="47" t="s">
        <v>125</v>
      </c>
    </row>
    <row r="6" spans="1:20" x14ac:dyDescent="0.3">
      <c r="B6" s="15" t="s">
        <v>137</v>
      </c>
      <c r="D6" s="34">
        <f ca="1">YEAR(TODAY())-1911</f>
        <v>111</v>
      </c>
      <c r="F6"/>
      <c r="G6" t="s">
        <v>57</v>
      </c>
      <c r="H6" s="15" t="s">
        <v>66</v>
      </c>
      <c r="J6"/>
      <c r="K6" s="15" t="s">
        <v>139</v>
      </c>
      <c r="N6" s="46" t="s">
        <v>94</v>
      </c>
      <c r="O6" s="46" t="s">
        <v>95</v>
      </c>
      <c r="P6" s="46" t="s">
        <v>104</v>
      </c>
      <c r="Q6" s="46" t="s">
        <v>105</v>
      </c>
      <c r="R6" s="46" t="s">
        <v>84</v>
      </c>
      <c r="S6" s="57">
        <v>2</v>
      </c>
      <c r="T6" s="47" t="s">
        <v>125</v>
      </c>
    </row>
    <row r="7" spans="1:20" ht="32.4" x14ac:dyDescent="0.3">
      <c r="A7" s="15" t="s">
        <v>139</v>
      </c>
      <c r="D7" s="34" t="s">
        <v>64</v>
      </c>
      <c r="F7"/>
      <c r="G7" t="s">
        <v>58</v>
      </c>
      <c r="H7" s="15" t="s">
        <v>67</v>
      </c>
      <c r="J7"/>
      <c r="K7" s="15" t="s">
        <v>145</v>
      </c>
      <c r="N7" s="46" t="s">
        <v>94</v>
      </c>
      <c r="O7" s="46" t="s">
        <v>95</v>
      </c>
      <c r="P7" s="46" t="s">
        <v>104</v>
      </c>
      <c r="Q7" s="46" t="s">
        <v>105</v>
      </c>
      <c r="R7" s="46" t="s">
        <v>85</v>
      </c>
      <c r="S7" s="57">
        <v>3</v>
      </c>
      <c r="T7" s="47" t="s">
        <v>125</v>
      </c>
    </row>
    <row r="8" spans="1:20" ht="48.6" x14ac:dyDescent="0.3">
      <c r="B8" s="15" t="s">
        <v>140</v>
      </c>
      <c r="D8" s="34" t="str">
        <f>_xlfn.TEXTJOIN("、",1,作業清單[作業清單])</f>
        <v>一、使用者徵審管理作業、二、通路商業務洽談與評估作業、三、通路商付款及入帳作業、四、 委外管理作業管理</v>
      </c>
      <c r="F8"/>
      <c r="G8" t="s">
        <v>59</v>
      </c>
      <c r="J8"/>
      <c r="K8" s="15" t="s">
        <v>151</v>
      </c>
      <c r="N8" s="46" t="s">
        <v>94</v>
      </c>
      <c r="O8" s="46" t="s">
        <v>95</v>
      </c>
      <c r="P8" s="46" t="s">
        <v>104</v>
      </c>
      <c r="Q8" s="46" t="s">
        <v>105</v>
      </c>
      <c r="R8" s="46" t="s">
        <v>86</v>
      </c>
      <c r="S8" s="57">
        <v>4</v>
      </c>
      <c r="T8" s="47" t="s">
        <v>125</v>
      </c>
    </row>
    <row r="9" spans="1:20" x14ac:dyDescent="0.3">
      <c r="B9" s="15" t="s">
        <v>141</v>
      </c>
      <c r="D9" s="34" t="s">
        <v>28</v>
      </c>
      <c r="F9"/>
      <c r="G9" t="s">
        <v>60</v>
      </c>
      <c r="J9"/>
      <c r="N9" s="46" t="s">
        <v>94</v>
      </c>
      <c r="O9" s="46" t="s">
        <v>95</v>
      </c>
      <c r="P9" s="46" t="s">
        <v>104</v>
      </c>
      <c r="Q9" s="46" t="s">
        <v>105</v>
      </c>
      <c r="R9" s="46" t="s">
        <v>87</v>
      </c>
      <c r="S9" s="57">
        <v>5</v>
      </c>
      <c r="T9" s="47" t="s">
        <v>125</v>
      </c>
    </row>
    <row r="10" spans="1:20" ht="64.8" x14ac:dyDescent="0.3">
      <c r="B10" s="15" t="s">
        <v>144</v>
      </c>
      <c r="D10" s="32" t="str">
        <f>_xlfn.TEXTJOIN("、",1,引用法規[外部法規])</f>
        <v>「電子支付機構資訊系統標準及安全控管作業基準」、「金融機構提供行動裝置應用程式作業規範」、「金融機構運用新興科技作業規範」</v>
      </c>
      <c r="F10"/>
      <c r="G10" t="s">
        <v>61</v>
      </c>
      <c r="J10"/>
      <c r="N10" s="46" t="s">
        <v>94</v>
      </c>
      <c r="O10" s="46" t="s">
        <v>95</v>
      </c>
      <c r="P10" s="46" t="s">
        <v>104</v>
      </c>
      <c r="Q10" s="46" t="s">
        <v>105</v>
      </c>
      <c r="R10" s="46" t="s">
        <v>88</v>
      </c>
      <c r="S10" s="57">
        <v>6</v>
      </c>
      <c r="T10" s="47" t="s">
        <v>125</v>
      </c>
    </row>
    <row r="11" spans="1:20" x14ac:dyDescent="0.3">
      <c r="B11" s="15" t="s">
        <v>142</v>
      </c>
      <c r="D11" s="34" t="s">
        <v>36</v>
      </c>
      <c r="F11"/>
      <c r="G11" t="s">
        <v>62</v>
      </c>
      <c r="J11"/>
      <c r="N11" s="46" t="s">
        <v>94</v>
      </c>
      <c r="O11" s="46" t="s">
        <v>95</v>
      </c>
      <c r="P11" s="46" t="s">
        <v>104</v>
      </c>
      <c r="Q11" s="46" t="s">
        <v>105</v>
      </c>
      <c r="R11" s="46" t="s">
        <v>89</v>
      </c>
      <c r="S11" s="57">
        <v>7</v>
      </c>
      <c r="T11" s="47" t="s">
        <v>125</v>
      </c>
    </row>
    <row r="12" spans="1:20" x14ac:dyDescent="0.3">
      <c r="B12" s="15" t="s">
        <v>143</v>
      </c>
      <c r="D12" s="34" t="s">
        <v>45</v>
      </c>
      <c r="F12"/>
      <c r="G12" t="s">
        <v>63</v>
      </c>
      <c r="J12"/>
      <c r="N12" s="46" t="s">
        <v>94</v>
      </c>
      <c r="O12" s="46" t="s">
        <v>95</v>
      </c>
      <c r="P12" s="46" t="s">
        <v>104</v>
      </c>
      <c r="Q12" s="46" t="s">
        <v>105</v>
      </c>
      <c r="R12" s="46" t="s">
        <v>90</v>
      </c>
      <c r="S12" s="57">
        <v>8</v>
      </c>
      <c r="T12" s="47" t="s">
        <v>125</v>
      </c>
    </row>
    <row r="13" spans="1:20" x14ac:dyDescent="0.3">
      <c r="A13" s="15" t="s">
        <v>145</v>
      </c>
      <c r="D13" s="32" t="str">
        <f>_xlfn.TEXTJOIN("、",1,引用法規[查核循環])</f>
        <v>「資訊作業循環」</v>
      </c>
      <c r="N13" s="46" t="s">
        <v>94</v>
      </c>
      <c r="O13" s="46" t="s">
        <v>95</v>
      </c>
      <c r="P13" s="46" t="s">
        <v>104</v>
      </c>
      <c r="Q13" s="46" t="s">
        <v>105</v>
      </c>
      <c r="R13" s="46" t="s">
        <v>91</v>
      </c>
      <c r="S13" s="57">
        <v>9</v>
      </c>
      <c r="T13" s="47" t="s">
        <v>125</v>
      </c>
    </row>
    <row r="14" spans="1:20" ht="33" thickBot="1" x14ac:dyDescent="0.35">
      <c r="B14" s="15" t="s">
        <v>150</v>
      </c>
      <c r="D14" s="35" t="s">
        <v>47</v>
      </c>
      <c r="N14" s="46" t="s">
        <v>94</v>
      </c>
      <c r="O14" s="46" t="s">
        <v>95</v>
      </c>
      <c r="P14" s="46" t="s">
        <v>104</v>
      </c>
      <c r="Q14" s="46" t="s">
        <v>105</v>
      </c>
      <c r="R14" s="46" t="s">
        <v>92</v>
      </c>
      <c r="S14" s="57">
        <v>10</v>
      </c>
      <c r="T14" s="47" t="s">
        <v>125</v>
      </c>
    </row>
    <row r="15" spans="1:20" x14ac:dyDescent="0.3">
      <c r="B15" s="15" t="s">
        <v>147</v>
      </c>
      <c r="N15" s="46" t="s">
        <v>94</v>
      </c>
      <c r="O15" s="46" t="s">
        <v>95</v>
      </c>
      <c r="P15" s="46" t="s">
        <v>104</v>
      </c>
      <c r="Q15" s="46" t="s">
        <v>105</v>
      </c>
      <c r="R15" s="46" t="s">
        <v>93</v>
      </c>
      <c r="S15" s="57">
        <v>11</v>
      </c>
      <c r="T15" s="47" t="s">
        <v>125</v>
      </c>
    </row>
    <row r="16" spans="1:20" ht="16.8" thickBot="1" x14ac:dyDescent="0.35">
      <c r="B16" s="15" t="s">
        <v>148</v>
      </c>
      <c r="D16" s="12" t="s">
        <v>70</v>
      </c>
      <c r="N16" s="46" t="s">
        <v>94</v>
      </c>
      <c r="O16" s="46" t="s">
        <v>95</v>
      </c>
      <c r="P16" s="46" t="s">
        <v>104</v>
      </c>
      <c r="Q16" s="46" t="s">
        <v>105</v>
      </c>
      <c r="R16" s="46" t="s">
        <v>106</v>
      </c>
      <c r="S16" s="57">
        <v>12</v>
      </c>
      <c r="T16" s="47" t="s">
        <v>125</v>
      </c>
    </row>
    <row r="17" spans="1:20" ht="211.2" thickBot="1" x14ac:dyDescent="0.35">
      <c r="B17" s="15" t="s">
        <v>149</v>
      </c>
      <c r="D17" s="31" t="str">
        <f ca="1">_xlfn.CONCAT(D5:D14)</f>
        <v xml:space="preserve">    本次查核為辦理本公司111年度稽核計畫中技術部之一般查核，查核項目：一、使用者徵審管理作業、二、通路商業務洽談與評估作業、三、通路商付款及入帳作業、四、 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v>
      </c>
      <c r="N17" s="46" t="s">
        <v>94</v>
      </c>
      <c r="O17" s="46" t="s">
        <v>95</v>
      </c>
      <c r="P17" s="46" t="s">
        <v>104</v>
      </c>
      <c r="Q17" s="46" t="s">
        <v>105</v>
      </c>
      <c r="R17" s="46" t="s">
        <v>107</v>
      </c>
      <c r="S17" s="57">
        <v>13</v>
      </c>
      <c r="T17" s="47" t="s">
        <v>125</v>
      </c>
    </row>
    <row r="18" spans="1:20" x14ac:dyDescent="0.3">
      <c r="B18" s="15" t="s">
        <v>146</v>
      </c>
      <c r="N18" s="46" t="s">
        <v>94</v>
      </c>
      <c r="O18" s="46" t="s">
        <v>95</v>
      </c>
      <c r="P18" s="46" t="s">
        <v>104</v>
      </c>
      <c r="Q18" s="46" t="s">
        <v>105</v>
      </c>
      <c r="R18" s="46" t="s">
        <v>108</v>
      </c>
      <c r="S18" s="57">
        <v>14</v>
      </c>
      <c r="T18" s="47" t="s">
        <v>125</v>
      </c>
    </row>
    <row r="19" spans="1:20" x14ac:dyDescent="0.3">
      <c r="A19" s="15" t="s">
        <v>151</v>
      </c>
      <c r="D19" s="12" t="b">
        <v>1</v>
      </c>
      <c r="N19" s="46" t="s">
        <v>94</v>
      </c>
      <c r="O19" s="46" t="s">
        <v>95</v>
      </c>
      <c r="P19" s="46" t="s">
        <v>104</v>
      </c>
      <c r="Q19" s="46" t="s">
        <v>105</v>
      </c>
      <c r="R19" s="46" t="s">
        <v>109</v>
      </c>
      <c r="S19" s="57">
        <v>15</v>
      </c>
      <c r="T19" s="47" t="s">
        <v>125</v>
      </c>
    </row>
    <row r="20" spans="1:20" x14ac:dyDescent="0.3">
      <c r="B20" s="15" t="s">
        <v>155</v>
      </c>
      <c r="D20" s="12" t="b">
        <v>0</v>
      </c>
      <c r="N20" s="46" t="s">
        <v>94</v>
      </c>
      <c r="O20" s="46" t="s">
        <v>95</v>
      </c>
      <c r="P20" s="46" t="s">
        <v>104</v>
      </c>
      <c r="Q20" s="46" t="s">
        <v>105</v>
      </c>
      <c r="R20" s="46" t="s">
        <v>110</v>
      </c>
      <c r="S20" s="57">
        <v>16</v>
      </c>
      <c r="T20" s="47" t="s">
        <v>125</v>
      </c>
    </row>
    <row r="21" spans="1:20" x14ac:dyDescent="0.3">
      <c r="B21" s="15" t="s">
        <v>153</v>
      </c>
      <c r="N21" s="46" t="s">
        <v>94</v>
      </c>
      <c r="O21" s="46" t="s">
        <v>95</v>
      </c>
      <c r="P21" s="46" t="s">
        <v>104</v>
      </c>
      <c r="Q21" s="46" t="s">
        <v>105</v>
      </c>
      <c r="R21" s="46" t="s">
        <v>111</v>
      </c>
      <c r="S21" s="57">
        <v>17</v>
      </c>
      <c r="T21" s="47" t="s">
        <v>125</v>
      </c>
    </row>
    <row r="22" spans="1:20" x14ac:dyDescent="0.3">
      <c r="B22" s="15" t="s">
        <v>23</v>
      </c>
      <c r="D22" s="12" t="s">
        <v>80</v>
      </c>
      <c r="N22" s="46" t="s">
        <v>94</v>
      </c>
      <c r="O22" s="46" t="s">
        <v>95</v>
      </c>
      <c r="P22" s="46" t="s">
        <v>104</v>
      </c>
      <c r="Q22" s="46" t="s">
        <v>105</v>
      </c>
      <c r="R22" s="46" t="s">
        <v>112</v>
      </c>
      <c r="S22" s="57">
        <v>18</v>
      </c>
      <c r="T22" s="47" t="s">
        <v>125</v>
      </c>
    </row>
    <row r="23" spans="1:20" x14ac:dyDescent="0.3">
      <c r="B23" s="15" t="s">
        <v>154</v>
      </c>
      <c r="D23" s="12" t="s">
        <v>81</v>
      </c>
      <c r="N23" s="46" t="s">
        <v>94</v>
      </c>
      <c r="O23" s="46" t="s">
        <v>95</v>
      </c>
      <c r="P23" s="46" t="s">
        <v>104</v>
      </c>
      <c r="Q23" s="46" t="s">
        <v>105</v>
      </c>
      <c r="R23" s="46" t="s">
        <v>113</v>
      </c>
      <c r="S23" s="57">
        <v>19</v>
      </c>
      <c r="T23" s="47" t="s">
        <v>125</v>
      </c>
    </row>
    <row r="24" spans="1:20" x14ac:dyDescent="0.3">
      <c r="N24" s="46" t="s">
        <v>94</v>
      </c>
      <c r="O24" s="46" t="s">
        <v>95</v>
      </c>
      <c r="P24" s="46" t="s">
        <v>104</v>
      </c>
      <c r="Q24" s="46" t="s">
        <v>105</v>
      </c>
      <c r="R24" s="46" t="s">
        <v>114</v>
      </c>
      <c r="S24" s="57">
        <v>20</v>
      </c>
      <c r="T24" s="47" t="s">
        <v>125</v>
      </c>
    </row>
    <row r="26" spans="1:20" ht="32.4" x14ac:dyDescent="0.3">
      <c r="D26" s="12" t="s">
        <v>9</v>
      </c>
    </row>
    <row r="27" spans="1:20" ht="32.4" x14ac:dyDescent="0.3">
      <c r="D27" s="12" t="s">
        <v>77</v>
      </c>
    </row>
    <row r="30" spans="1:20" ht="16.8" thickBot="1" x14ac:dyDescent="0.35"/>
    <row r="31" spans="1:20" ht="16.8" thickBot="1" x14ac:dyDescent="0.35">
      <c r="D31" s="31" t="s">
        <v>97</v>
      </c>
    </row>
    <row r="32" spans="1:20" ht="409.6" x14ac:dyDescent="0.3">
      <c r="D32" s="12" t="str">
        <f>報告藍本!H3</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9"/>
  <sheetViews>
    <sheetView workbookViewId="0">
      <selection sqref="A1:B19"/>
    </sheetView>
  </sheetViews>
  <sheetFormatPr defaultRowHeight="34.200000000000003" customHeight="1" x14ac:dyDescent="0.3"/>
  <cols>
    <col min="1" max="1" width="8.88671875" style="17"/>
    <col min="2" max="16384" width="8.88671875" style="16"/>
  </cols>
  <sheetData>
    <row r="1" spans="1:2" s="18" customFormat="1" ht="34.200000000000003" customHeight="1" x14ac:dyDescent="0.3">
      <c r="A1" s="18" t="s">
        <v>24</v>
      </c>
      <c r="B1" s="18" t="s">
        <v>3</v>
      </c>
    </row>
    <row r="2" spans="1:2" ht="34.200000000000003" customHeight="1" x14ac:dyDescent="0.3">
      <c r="A2" s="78" t="s">
        <v>134</v>
      </c>
      <c r="B2" s="16" t="s">
        <v>135</v>
      </c>
    </row>
    <row r="3" spans="1:2" ht="34.200000000000003" customHeight="1" x14ac:dyDescent="0.3">
      <c r="A3" s="78"/>
      <c r="B3" s="16" t="s">
        <v>138</v>
      </c>
    </row>
    <row r="4" spans="1:2" ht="34.200000000000003" customHeight="1" x14ac:dyDescent="0.3">
      <c r="A4" s="78"/>
      <c r="B4" s="16" t="s">
        <v>136</v>
      </c>
    </row>
    <row r="5" spans="1:2" ht="34.200000000000003" customHeight="1" x14ac:dyDescent="0.3">
      <c r="A5" s="78"/>
      <c r="B5" s="16" t="s">
        <v>137</v>
      </c>
    </row>
    <row r="6" spans="1:2" ht="34.200000000000003" customHeight="1" x14ac:dyDescent="0.3">
      <c r="A6" s="78" t="s">
        <v>139</v>
      </c>
      <c r="B6" s="16" t="s">
        <v>140</v>
      </c>
    </row>
    <row r="7" spans="1:2" ht="34.200000000000003" customHeight="1" x14ac:dyDescent="0.3">
      <c r="A7" s="78"/>
      <c r="B7" s="16" t="s">
        <v>141</v>
      </c>
    </row>
    <row r="8" spans="1:2" ht="34.200000000000003" customHeight="1" x14ac:dyDescent="0.3">
      <c r="A8" s="78"/>
      <c r="B8" s="16" t="s">
        <v>144</v>
      </c>
    </row>
    <row r="9" spans="1:2" ht="34.200000000000003" customHeight="1" x14ac:dyDescent="0.3">
      <c r="A9" s="78"/>
      <c r="B9" s="16" t="s">
        <v>142</v>
      </c>
    </row>
    <row r="10" spans="1:2" ht="34.200000000000003" customHeight="1" x14ac:dyDescent="0.3">
      <c r="A10" s="78"/>
      <c r="B10" s="16" t="s">
        <v>143</v>
      </c>
    </row>
    <row r="11" spans="1:2" ht="34.200000000000003" customHeight="1" x14ac:dyDescent="0.3">
      <c r="A11" s="78" t="s">
        <v>145</v>
      </c>
      <c r="B11" s="16" t="s">
        <v>150</v>
      </c>
    </row>
    <row r="12" spans="1:2" ht="34.200000000000003" customHeight="1" x14ac:dyDescent="0.3">
      <c r="A12" s="78"/>
      <c r="B12" s="16" t="s">
        <v>147</v>
      </c>
    </row>
    <row r="13" spans="1:2" ht="34.200000000000003" customHeight="1" x14ac:dyDescent="0.3">
      <c r="A13" s="78"/>
      <c r="B13" s="16" t="s">
        <v>148</v>
      </c>
    </row>
    <row r="14" spans="1:2" ht="34.200000000000003" customHeight="1" x14ac:dyDescent="0.3">
      <c r="A14" s="78"/>
      <c r="B14" s="16" t="s">
        <v>149</v>
      </c>
    </row>
    <row r="15" spans="1:2" ht="34.200000000000003" customHeight="1" x14ac:dyDescent="0.3">
      <c r="A15" s="78"/>
      <c r="B15" s="16" t="s">
        <v>146</v>
      </c>
    </row>
    <row r="16" spans="1:2" ht="34.200000000000003" customHeight="1" x14ac:dyDescent="0.3">
      <c r="A16" s="78" t="s">
        <v>151</v>
      </c>
      <c r="B16" s="16" t="s">
        <v>155</v>
      </c>
    </row>
    <row r="17" spans="1:2" ht="34.200000000000003" customHeight="1" x14ac:dyDescent="0.3">
      <c r="A17" s="78"/>
      <c r="B17" s="16" t="s">
        <v>153</v>
      </c>
    </row>
    <row r="18" spans="1:2" ht="34.200000000000003" customHeight="1" x14ac:dyDescent="0.3">
      <c r="A18" s="78"/>
      <c r="B18" s="16" t="s">
        <v>23</v>
      </c>
    </row>
    <row r="19" spans="1:2" ht="34.200000000000003" customHeight="1" x14ac:dyDescent="0.3">
      <c r="A19" s="78"/>
      <c r="B19" s="16" t="s">
        <v>154</v>
      </c>
    </row>
  </sheetData>
  <mergeCells count="4">
    <mergeCell ref="A16:A19"/>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workbookViewId="0">
      <selection activeCell="D5" sqref="D5"/>
    </sheetView>
  </sheetViews>
  <sheetFormatPr defaultRowHeight="16.2" x14ac:dyDescent="0.3"/>
  <cols>
    <col min="1" max="2" width="18.5546875" style="51" customWidth="1"/>
    <col min="3" max="3" width="27.77734375" style="51" customWidth="1"/>
    <col min="4" max="4" width="47.88671875" style="51" customWidth="1"/>
    <col min="5" max="5" width="61.109375" style="52" customWidth="1"/>
    <col min="6" max="6" width="18.5546875" hidden="1" customWidth="1"/>
    <col min="8" max="19" width="8.88671875" style="15"/>
  </cols>
  <sheetData>
    <row r="1" spans="1:19" s="25" customFormat="1" ht="20.399999999999999" thickBot="1" x14ac:dyDescent="0.45">
      <c r="A1" s="48" t="s">
        <v>98</v>
      </c>
      <c r="B1" s="49"/>
      <c r="C1" s="49"/>
      <c r="D1" s="49"/>
      <c r="E1" s="50" t="s">
        <v>123</v>
      </c>
      <c r="H1" s="82" t="s">
        <v>121</v>
      </c>
      <c r="I1" s="83"/>
      <c r="J1" s="83"/>
      <c r="K1" s="83"/>
      <c r="L1" s="83"/>
      <c r="M1" s="83"/>
      <c r="N1" s="83"/>
      <c r="O1" s="83"/>
      <c r="P1" s="83"/>
      <c r="Q1" s="83"/>
      <c r="R1" s="83"/>
      <c r="S1" s="84"/>
    </row>
    <row r="2" spans="1:19" ht="16.8" thickBot="1" x14ac:dyDescent="0.35">
      <c r="A2" s="51" t="s">
        <v>21</v>
      </c>
      <c r="B2" s="51" t="s">
        <v>119</v>
      </c>
      <c r="C2" s="51" t="s">
        <v>22</v>
      </c>
      <c r="D2" s="51" t="s">
        <v>116</v>
      </c>
      <c r="E2" s="52" t="s">
        <v>117</v>
      </c>
      <c r="F2" s="10" t="s">
        <v>118</v>
      </c>
      <c r="H2" s="79" t="s">
        <v>122</v>
      </c>
      <c r="I2" s="80"/>
      <c r="J2" s="80"/>
      <c r="K2" s="80"/>
      <c r="L2" s="80"/>
      <c r="M2" s="81"/>
      <c r="N2" s="79" t="s">
        <v>120</v>
      </c>
      <c r="O2" s="80"/>
      <c r="P2" s="80"/>
      <c r="Q2" s="80"/>
      <c r="R2" s="80"/>
      <c r="S2" s="81"/>
    </row>
    <row r="3" spans="1:19" ht="70.8" customHeight="1" x14ac:dyDescent="0.3">
      <c r="A3" s="53"/>
      <c r="B3" s="53">
        <v>1</v>
      </c>
      <c r="C3" s="53" t="str">
        <f>工作底稿!B5</f>
        <v>本公司受理線上使用者申請時，是否依其留存身分資料於確認後提供對應之電子支付帳戶，且各類型帳戶收付額度以定額為限。</v>
      </c>
      <c r="D3" s="53">
        <f>工作底稿!F9</f>
        <v>0</v>
      </c>
      <c r="E3" s="54" t="s">
        <v>171</v>
      </c>
      <c r="F3" s="41" t="str">
        <f>IF(LEN(表格9[[#This Row],[報告內容]])&gt;0,Temporary!T5&amp;Temporary!S5&amp;Temporary!Q5&amp;表格9[[#This Row],[報告內容]],"")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v>
      </c>
      <c r="H3" s="85" t="str" cm="1">
        <f t="array" ref="H3">_xlfn.TEXTJOIN("",TRUE,"    "&amp;表格9[報告內容])</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I3" s="86"/>
      <c r="J3" s="86"/>
      <c r="K3" s="86"/>
      <c r="L3" s="86"/>
      <c r="M3" s="87"/>
      <c r="N3" s="85" t="str">
        <f>_xlfn.TEXTJOIN(CHAR(10),1,表格9[依輸出內容])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O3" s="86"/>
      <c r="P3" s="86"/>
      <c r="Q3" s="86"/>
      <c r="R3" s="86"/>
      <c r="S3" s="87"/>
    </row>
    <row r="4" spans="1:19" ht="45" x14ac:dyDescent="0.3">
      <c r="A4" s="53"/>
      <c r="B4" s="53">
        <v>2</v>
      </c>
      <c r="C4" s="53" t="str">
        <f>工作底稿!B6</f>
        <v>本公司線上申請之使用者欲調整交易額度是否符合相關規定。</v>
      </c>
      <c r="D4" s="53">
        <f>工作底稿!F5</f>
        <v>0</v>
      </c>
      <c r="E4" s="54"/>
      <c r="F4" s="41" t="str">
        <f>IF(LEN(表格9[[#This Row],[報告內容]])&gt;0,Temporary!T6&amp;Temporary!S6&amp;Temporary!Q6&amp;表格9[[#This Row],[報告內容]],"")</f>
        <v/>
      </c>
      <c r="H4" s="88"/>
      <c r="I4" s="89"/>
      <c r="J4" s="89"/>
      <c r="K4" s="89"/>
      <c r="L4" s="89"/>
      <c r="M4" s="90"/>
      <c r="N4" s="88"/>
      <c r="O4" s="89"/>
      <c r="P4" s="89"/>
      <c r="Q4" s="89"/>
      <c r="R4" s="89"/>
      <c r="S4" s="90"/>
    </row>
    <row r="5" spans="1:19" ht="409.6" x14ac:dyDescent="0.3">
      <c r="A5" s="53"/>
      <c r="B5" s="53">
        <v>3</v>
      </c>
      <c r="C5" s="53" t="str">
        <f>工作底稿!B7</f>
        <v>使用者之資料是否存入全支付後台管理系統，且使用者收款額度或額度調整等事項是否保留紀錄。</v>
      </c>
      <c r="D5" s="53">
        <f>工作底稿!F7</f>
        <v>0</v>
      </c>
      <c r="E5" s="54" t="s">
        <v>127</v>
      </c>
      <c r="F5" s="41" t="str">
        <f>IF(LEN(表格9[[#This Row],[報告內容]])&gt;0,Temporary!T7&amp;Temporary!S7&amp;Temporary!Q7&amp;表格9[[#This Row],[報告內容]],"")</f>
        <v xml:space="preserve">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v>
      </c>
      <c r="H5" s="88"/>
      <c r="I5" s="89"/>
      <c r="J5" s="89"/>
      <c r="K5" s="89"/>
      <c r="L5" s="89"/>
      <c r="M5" s="90"/>
      <c r="N5" s="88"/>
      <c r="O5" s="89"/>
      <c r="P5" s="89"/>
      <c r="Q5" s="89"/>
      <c r="R5" s="89"/>
      <c r="S5" s="90"/>
    </row>
    <row r="6" spans="1:19" ht="167.4" customHeight="1" x14ac:dyDescent="0.3">
      <c r="A6" s="53"/>
      <c r="B6" s="53">
        <v>4</v>
      </c>
      <c r="C6" s="53" t="str">
        <f>工作底稿!B8</f>
        <v>若使用者之收款額度如有逾越一般管理額度時，是否經過權責主管核准後並保留相關紀錄。</v>
      </c>
      <c r="D6" s="53">
        <f>工作底稿!F6</f>
        <v>0</v>
      </c>
      <c r="E6" s="54"/>
      <c r="F6" s="41" t="str">
        <f>IF(LEN(表格9[[#This Row],[報告內容]])&gt;0,Temporary!T8&amp;Temporary!S8&amp;Temporary!Q8&amp;表格9[[#This Row],[報告內容]],"")</f>
        <v/>
      </c>
      <c r="H6" s="88"/>
      <c r="I6" s="89"/>
      <c r="J6" s="89"/>
      <c r="K6" s="89"/>
      <c r="L6" s="89"/>
      <c r="M6" s="90"/>
      <c r="N6" s="88"/>
      <c r="O6" s="89"/>
      <c r="P6" s="89"/>
      <c r="Q6" s="89"/>
      <c r="R6" s="89"/>
      <c r="S6" s="90"/>
    </row>
    <row r="7" spans="1:19" ht="263.39999999999998" customHeight="1" x14ac:dyDescent="0.3">
      <c r="A7" s="53"/>
      <c r="B7" s="53">
        <v>5</v>
      </c>
      <c r="C7" s="53" t="str">
        <f>工作底稿!B9</f>
        <v>本公司通路商業務模式及資料是否有列表控管。</v>
      </c>
      <c r="D7" s="53">
        <f>工作底稿!F8</f>
        <v>0</v>
      </c>
      <c r="E7" s="54" t="s">
        <v>128</v>
      </c>
      <c r="F7" s="41" t="str">
        <f>IF(LEN(表格9[[#This Row],[報告內容]])&gt;0,Temporary!T9&amp;Temporary!S9&amp;Temporary!Q9&amp;表格9[[#This Row],[報告內容]],"")</f>
        <v xml:space="preserve">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v>
      </c>
      <c r="H7" s="88"/>
      <c r="I7" s="89"/>
      <c r="J7" s="89"/>
      <c r="K7" s="89"/>
      <c r="L7" s="89"/>
      <c r="M7" s="90"/>
      <c r="N7" s="88"/>
      <c r="O7" s="89"/>
      <c r="P7" s="89"/>
      <c r="Q7" s="89"/>
      <c r="R7" s="89"/>
      <c r="S7" s="90"/>
    </row>
    <row r="8" spans="1:19" ht="155.4" customHeight="1" x14ac:dyDescent="0.3">
      <c r="A8" s="53"/>
      <c r="B8" s="53">
        <v>6</v>
      </c>
      <c r="C8" s="53" t="str">
        <f>工作底稿!B10</f>
        <v>是否定期評估通路商效益，且評估後若有未符合預期者是否提出改善方式。</v>
      </c>
      <c r="D8" s="53">
        <f>工作底稿!F10</f>
        <v>0</v>
      </c>
      <c r="E8" s="59" t="s">
        <v>126</v>
      </c>
      <c r="F8" s="41" t="str">
        <f>IF(LEN(表格9[[#This Row],[報告內容]])&gt;0,Temporary!T10&amp;Temporary!S10&amp;Temporary!Q10&amp;表格9[[#This Row],[報告內容]],"")</f>
        <v xml:space="preserve">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v>
      </c>
      <c r="H8" s="88"/>
      <c r="I8" s="89"/>
      <c r="J8" s="89"/>
      <c r="K8" s="89"/>
      <c r="L8" s="89"/>
      <c r="M8" s="90"/>
      <c r="N8" s="88"/>
      <c r="O8" s="89"/>
      <c r="P8" s="89"/>
      <c r="Q8" s="89"/>
      <c r="R8" s="89"/>
      <c r="S8" s="90"/>
    </row>
    <row r="9" spans="1:19" ht="189.6" customHeight="1" x14ac:dyDescent="0.3">
      <c r="A9" s="53"/>
      <c r="B9" s="53">
        <v>7</v>
      </c>
      <c r="C9" s="53" t="str">
        <f>工作底稿!B11</f>
        <v>是否適時審視各類通路商費率等條件以保障本公司權益。</v>
      </c>
      <c r="D9" s="53">
        <f>工作底稿!F11</f>
        <v>0</v>
      </c>
      <c r="E9" s="54" t="s">
        <v>131</v>
      </c>
      <c r="F9" s="41" t="str">
        <f>IF(LEN(表格9[[#This Row],[報告內容]])&gt;0,Temporary!T11&amp;Temporary!S11&amp;Temporary!Q11&amp;表格9[[#This Row],[報告內容]],"")</f>
        <v xml:space="preserve">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H9" s="88"/>
      <c r="I9" s="89"/>
      <c r="J9" s="89"/>
      <c r="K9" s="89"/>
      <c r="L9" s="89"/>
      <c r="M9" s="90"/>
      <c r="N9" s="88"/>
      <c r="O9" s="89"/>
      <c r="P9" s="89"/>
      <c r="Q9" s="89"/>
      <c r="R9" s="89"/>
      <c r="S9" s="90"/>
    </row>
    <row r="10" spans="1:19" ht="16.2" customHeight="1" x14ac:dyDescent="0.3">
      <c r="H10" s="88"/>
      <c r="I10" s="89"/>
      <c r="J10" s="89"/>
      <c r="K10" s="89"/>
      <c r="L10" s="89"/>
      <c r="M10" s="90"/>
      <c r="N10" s="88"/>
      <c r="O10" s="89"/>
      <c r="P10" s="89"/>
      <c r="Q10" s="89"/>
      <c r="R10" s="89"/>
      <c r="S10" s="90"/>
    </row>
    <row r="11" spans="1:19" ht="16.2" customHeight="1" x14ac:dyDescent="0.3">
      <c r="H11" s="88"/>
      <c r="I11" s="89"/>
      <c r="J11" s="89"/>
      <c r="K11" s="89"/>
      <c r="L11" s="89"/>
      <c r="M11" s="90"/>
      <c r="N11" s="88"/>
      <c r="O11" s="89"/>
      <c r="P11" s="89"/>
      <c r="Q11" s="89"/>
      <c r="R11" s="89"/>
      <c r="S11" s="90"/>
    </row>
    <row r="12" spans="1:19" ht="16.2" customHeight="1" x14ac:dyDescent="0.3">
      <c r="H12" s="88"/>
      <c r="I12" s="89"/>
      <c r="J12" s="89"/>
      <c r="K12" s="89"/>
      <c r="L12" s="89"/>
      <c r="M12" s="90"/>
      <c r="N12" s="88"/>
      <c r="O12" s="89"/>
      <c r="P12" s="89"/>
      <c r="Q12" s="89"/>
      <c r="R12" s="89"/>
      <c r="S12" s="90"/>
    </row>
    <row r="13" spans="1:19" ht="16.2" customHeight="1" x14ac:dyDescent="0.3">
      <c r="H13" s="88"/>
      <c r="I13" s="89"/>
      <c r="J13" s="89"/>
      <c r="K13" s="89"/>
      <c r="L13" s="89"/>
      <c r="M13" s="90"/>
      <c r="N13" s="88"/>
      <c r="O13" s="89"/>
      <c r="P13" s="89"/>
      <c r="Q13" s="89"/>
      <c r="R13" s="89"/>
      <c r="S13" s="90"/>
    </row>
    <row r="14" spans="1:19" ht="15" x14ac:dyDescent="0.3">
      <c r="H14" s="88"/>
      <c r="I14" s="89"/>
      <c r="J14" s="89"/>
      <c r="K14" s="89"/>
      <c r="L14" s="89"/>
      <c r="M14" s="90"/>
      <c r="N14" s="88"/>
      <c r="O14" s="89"/>
      <c r="P14" s="89"/>
      <c r="Q14" s="89"/>
      <c r="R14" s="89"/>
      <c r="S14" s="90"/>
    </row>
    <row r="15" spans="1:19" ht="16.2" customHeight="1" x14ac:dyDescent="0.3">
      <c r="H15" s="88"/>
      <c r="I15" s="89"/>
      <c r="J15" s="89"/>
      <c r="K15" s="89"/>
      <c r="L15" s="89"/>
      <c r="M15" s="90"/>
      <c r="N15" s="88"/>
      <c r="O15" s="89"/>
      <c r="P15" s="89"/>
      <c r="Q15" s="89"/>
      <c r="R15" s="89"/>
      <c r="S15" s="90"/>
    </row>
    <row r="16" spans="1:19" ht="16.2" customHeight="1" x14ac:dyDescent="0.3">
      <c r="H16" s="88"/>
      <c r="I16" s="89"/>
      <c r="J16" s="89"/>
      <c r="K16" s="89"/>
      <c r="L16" s="89"/>
      <c r="M16" s="90"/>
      <c r="N16" s="88"/>
      <c r="O16" s="89"/>
      <c r="P16" s="89"/>
      <c r="Q16" s="89"/>
      <c r="R16" s="89"/>
      <c r="S16" s="90"/>
    </row>
    <row r="17" spans="8:19" ht="16.2" customHeight="1" thickBot="1" x14ac:dyDescent="0.35">
      <c r="H17" s="91"/>
      <c r="I17" s="92"/>
      <c r="J17" s="92"/>
      <c r="K17" s="92"/>
      <c r="L17" s="92"/>
      <c r="M17" s="93"/>
      <c r="N17" s="91"/>
      <c r="O17" s="92"/>
      <c r="P17" s="92"/>
      <c r="Q17" s="92"/>
      <c r="R17" s="92"/>
      <c r="S17" s="93"/>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6"/>
  <sheetViews>
    <sheetView topLeftCell="A3" workbookViewId="0">
      <selection activeCell="B8" sqref="B8:XFD26"/>
    </sheetView>
  </sheetViews>
  <sheetFormatPr defaultColWidth="6.109375" defaultRowHeight="16.2" x14ac:dyDescent="0.3"/>
  <cols>
    <col min="1" max="1" width="11.33203125" style="9" customWidth="1"/>
    <col min="2" max="2" width="85" style="9" customWidth="1"/>
    <col min="3" max="3" width="74.21875" style="8" customWidth="1"/>
    <col min="4" max="16384" width="6.109375" style="9"/>
  </cols>
  <sheetData>
    <row r="1" spans="1:3" ht="19.8" x14ac:dyDescent="0.4">
      <c r="A1" s="6" t="s">
        <v>156</v>
      </c>
      <c r="B1" s="6"/>
    </row>
    <row r="2" spans="1:3" ht="19.8" x14ac:dyDescent="0.4">
      <c r="A2" s="6" t="s">
        <v>74</v>
      </c>
      <c r="B2" s="6"/>
    </row>
    <row r="3" spans="1:3" ht="19.8" x14ac:dyDescent="0.4">
      <c r="A3" s="6" t="s">
        <v>75</v>
      </c>
      <c r="B3" s="6"/>
    </row>
    <row r="4" spans="1:3" ht="19.8" x14ac:dyDescent="0.4">
      <c r="A4" s="6" t="s">
        <v>73</v>
      </c>
      <c r="B4" s="6"/>
    </row>
    <row r="5" spans="1:3" ht="19.8" x14ac:dyDescent="0.4">
      <c r="A5" s="6" t="s">
        <v>173</v>
      </c>
      <c r="B5" s="6"/>
    </row>
    <row r="6" spans="1:3" ht="52.2" customHeight="1" x14ac:dyDescent="0.3">
      <c r="A6" s="95" t="s">
        <v>20</v>
      </c>
      <c r="B6" s="96"/>
    </row>
    <row r="7" spans="1:3" s="71" customFormat="1" ht="15" customHeight="1" x14ac:dyDescent="0.3">
      <c r="A7" s="97" t="s">
        <v>19</v>
      </c>
      <c r="B7" s="98"/>
      <c r="C7" s="98"/>
    </row>
    <row r="8" spans="1:3" s="76" customFormat="1" x14ac:dyDescent="0.3">
      <c r="A8" s="75" t="s">
        <v>24</v>
      </c>
      <c r="B8" s="18" t="s">
        <v>3</v>
      </c>
      <c r="C8" s="19"/>
    </row>
    <row r="9" spans="1:3" s="77" customFormat="1" ht="48.6" customHeight="1" x14ac:dyDescent="0.3">
      <c r="A9" s="94" t="s">
        <v>134</v>
      </c>
      <c r="B9" s="16" t="s">
        <v>135</v>
      </c>
      <c r="C9" s="19"/>
    </row>
    <row r="10" spans="1:3" s="77" customFormat="1" ht="48.6" customHeight="1" x14ac:dyDescent="0.3">
      <c r="A10" s="94"/>
      <c r="B10" s="16" t="s">
        <v>138</v>
      </c>
      <c r="C10" s="19"/>
    </row>
    <row r="11" spans="1:3" s="77" customFormat="1" ht="48.6" customHeight="1" x14ac:dyDescent="0.3">
      <c r="A11" s="94"/>
      <c r="B11" s="16" t="s">
        <v>136</v>
      </c>
      <c r="C11" s="19"/>
    </row>
    <row r="12" spans="1:3" s="77" customFormat="1" ht="48.6" customHeight="1" x14ac:dyDescent="0.3">
      <c r="A12" s="94"/>
      <c r="B12" s="16" t="s">
        <v>137</v>
      </c>
      <c r="C12" s="19"/>
    </row>
    <row r="13" spans="1:3" s="77" customFormat="1" ht="46.8" customHeight="1" x14ac:dyDescent="0.3">
      <c r="A13" s="94" t="s">
        <v>139</v>
      </c>
      <c r="B13" s="16" t="s">
        <v>140</v>
      </c>
      <c r="C13" s="19"/>
    </row>
    <row r="14" spans="1:3" s="77" customFormat="1" ht="46.8" customHeight="1" x14ac:dyDescent="0.3">
      <c r="A14" s="94"/>
      <c r="B14" s="16" t="s">
        <v>141</v>
      </c>
      <c r="C14" s="19"/>
    </row>
    <row r="15" spans="1:3" s="77" customFormat="1" ht="46.8" customHeight="1" x14ac:dyDescent="0.3">
      <c r="A15" s="94"/>
      <c r="B15" s="16" t="s">
        <v>144</v>
      </c>
      <c r="C15" s="19"/>
    </row>
    <row r="16" spans="1:3" s="77" customFormat="1" ht="46.8" customHeight="1" x14ac:dyDescent="0.3">
      <c r="A16" s="94"/>
      <c r="B16" s="16" t="s">
        <v>142</v>
      </c>
      <c r="C16" s="19"/>
    </row>
    <row r="17" spans="1:3" s="77" customFormat="1" ht="46.8" customHeight="1" x14ac:dyDescent="0.3">
      <c r="A17" s="94"/>
      <c r="B17" s="16" t="s">
        <v>143</v>
      </c>
      <c r="C17" s="19"/>
    </row>
    <row r="18" spans="1:3" s="77" customFormat="1" ht="48.6" customHeight="1" x14ac:dyDescent="0.3">
      <c r="A18" s="94" t="s">
        <v>145</v>
      </c>
      <c r="B18" s="16" t="s">
        <v>150</v>
      </c>
      <c r="C18" s="19"/>
    </row>
    <row r="19" spans="1:3" s="77" customFormat="1" ht="48.6" customHeight="1" x14ac:dyDescent="0.3">
      <c r="A19" s="94"/>
      <c r="B19" s="16" t="s">
        <v>147</v>
      </c>
      <c r="C19" s="19"/>
    </row>
    <row r="20" spans="1:3" s="77" customFormat="1" ht="48.6" customHeight="1" x14ac:dyDescent="0.3">
      <c r="A20" s="94"/>
      <c r="B20" s="16" t="s">
        <v>148</v>
      </c>
      <c r="C20" s="19"/>
    </row>
    <row r="21" spans="1:3" s="77" customFormat="1" ht="48.6" customHeight="1" x14ac:dyDescent="0.3">
      <c r="A21" s="94"/>
      <c r="B21" s="16" t="s">
        <v>149</v>
      </c>
      <c r="C21" s="19"/>
    </row>
    <row r="22" spans="1:3" s="77" customFormat="1" ht="48.6" customHeight="1" x14ac:dyDescent="0.3">
      <c r="A22" s="94"/>
      <c r="B22" s="16" t="s">
        <v>146</v>
      </c>
      <c r="C22" s="19"/>
    </row>
    <row r="23" spans="1:3" s="77" customFormat="1" ht="47.4" customHeight="1" x14ac:dyDescent="0.3">
      <c r="A23" s="94" t="s">
        <v>151</v>
      </c>
      <c r="B23" s="16" t="s">
        <v>155</v>
      </c>
      <c r="C23" s="19"/>
    </row>
    <row r="24" spans="1:3" s="77" customFormat="1" ht="47.4" customHeight="1" x14ac:dyDescent="0.3">
      <c r="A24" s="94"/>
      <c r="B24" s="16" t="s">
        <v>153</v>
      </c>
      <c r="C24" s="19"/>
    </row>
    <row r="25" spans="1:3" s="77" customFormat="1" ht="47.4" customHeight="1" x14ac:dyDescent="0.3">
      <c r="A25" s="94"/>
      <c r="B25" s="16" t="s">
        <v>23</v>
      </c>
      <c r="C25" s="19"/>
    </row>
    <row r="26" spans="1:3" s="77" customFormat="1" ht="47.4" customHeight="1" x14ac:dyDescent="0.3">
      <c r="A26" s="94"/>
      <c r="B26" s="16" t="s">
        <v>154</v>
      </c>
      <c r="C26" s="19"/>
    </row>
  </sheetData>
  <mergeCells count="6">
    <mergeCell ref="A18:A22"/>
    <mergeCell ref="A23:A26"/>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2"/>
  <sheetViews>
    <sheetView workbookViewId="0">
      <selection activeCell="A4" sqref="A4:B22"/>
    </sheetView>
  </sheetViews>
  <sheetFormatPr defaultRowHeight="16.2" x14ac:dyDescent="0.3"/>
  <cols>
    <col min="1" max="1" width="11.88671875" style="12" customWidth="1"/>
    <col min="2" max="2" width="66.21875" style="12"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1"/>
      <c r="B1" s="11"/>
      <c r="C1" s="1" t="s">
        <v>75</v>
      </c>
      <c r="D1" s="1"/>
      <c r="E1" s="1"/>
      <c r="F1" s="1" t="s">
        <v>76</v>
      </c>
    </row>
    <row r="2" spans="1:7" ht="22.2" customHeight="1" x14ac:dyDescent="0.3">
      <c r="A2" s="11"/>
      <c r="B2" s="11"/>
      <c r="C2" s="1" t="s">
        <v>74</v>
      </c>
      <c r="D2" s="1"/>
      <c r="E2" s="1"/>
      <c r="F2" s="1" t="s">
        <v>73</v>
      </c>
      <c r="G2" s="1"/>
    </row>
    <row r="3" spans="1:7" ht="18" customHeight="1" x14ac:dyDescent="0.3">
      <c r="A3" s="13"/>
      <c r="B3" s="13"/>
      <c r="C3" s="100" t="s">
        <v>4</v>
      </c>
      <c r="D3" s="100"/>
      <c r="E3" s="100"/>
      <c r="F3" s="99" t="s">
        <v>6</v>
      </c>
      <c r="G3" s="99" t="s">
        <v>0</v>
      </c>
    </row>
    <row r="4" spans="1:7" ht="35.4" customHeight="1" x14ac:dyDescent="0.3">
      <c r="A4" s="18" t="s">
        <v>24</v>
      </c>
      <c r="B4" s="18" t="s">
        <v>3</v>
      </c>
      <c r="C4" s="2" t="s">
        <v>1</v>
      </c>
      <c r="D4" s="2" t="s">
        <v>2</v>
      </c>
      <c r="E4" s="2" t="s">
        <v>5</v>
      </c>
      <c r="F4" s="99"/>
      <c r="G4" s="99"/>
    </row>
    <row r="5" spans="1:7" ht="48" customHeight="1" x14ac:dyDescent="0.3">
      <c r="A5" s="78" t="s">
        <v>134</v>
      </c>
      <c r="B5" s="16" t="s">
        <v>135</v>
      </c>
      <c r="C5" s="20"/>
      <c r="D5" s="21"/>
      <c r="E5" s="22"/>
      <c r="F5" s="20"/>
      <c r="G5" s="3"/>
    </row>
    <row r="6" spans="1:7" ht="48" customHeight="1" x14ac:dyDescent="0.3">
      <c r="A6" s="78"/>
      <c r="B6" s="16" t="s">
        <v>138</v>
      </c>
      <c r="C6" s="20"/>
      <c r="D6" s="21"/>
      <c r="E6" s="22"/>
      <c r="F6" s="20"/>
      <c r="G6" s="3"/>
    </row>
    <row r="7" spans="1:7" ht="48" customHeight="1" x14ac:dyDescent="0.3">
      <c r="A7" s="78"/>
      <c r="B7" s="16" t="s">
        <v>136</v>
      </c>
      <c r="C7" s="20"/>
      <c r="D7" s="21"/>
      <c r="E7" s="22"/>
      <c r="F7" s="20"/>
      <c r="G7" s="3"/>
    </row>
    <row r="8" spans="1:7" ht="48" customHeight="1" x14ac:dyDescent="0.3">
      <c r="A8" s="78"/>
      <c r="B8" s="16" t="s">
        <v>137</v>
      </c>
      <c r="C8" s="20"/>
      <c r="D8" s="21"/>
      <c r="E8" s="22"/>
      <c r="F8" s="20"/>
      <c r="G8" s="3"/>
    </row>
    <row r="9" spans="1:7" ht="57" customHeight="1" x14ac:dyDescent="0.3">
      <c r="A9" s="78" t="s">
        <v>139</v>
      </c>
      <c r="B9" s="16" t="s">
        <v>140</v>
      </c>
      <c r="C9" s="20"/>
      <c r="D9" s="20"/>
      <c r="E9" s="20"/>
      <c r="F9" s="20"/>
      <c r="G9" s="3"/>
    </row>
    <row r="10" spans="1:7" ht="57" customHeight="1" x14ac:dyDescent="0.3">
      <c r="A10" s="78"/>
      <c r="B10" s="16" t="s">
        <v>141</v>
      </c>
      <c r="C10" s="20"/>
      <c r="D10" s="20"/>
      <c r="E10" s="20"/>
      <c r="F10" s="20"/>
      <c r="G10" s="3"/>
    </row>
    <row r="11" spans="1:7" ht="57" customHeight="1" x14ac:dyDescent="0.3">
      <c r="A11" s="78"/>
      <c r="B11" s="16" t="s">
        <v>144</v>
      </c>
      <c r="C11" s="20"/>
      <c r="D11" s="20"/>
      <c r="E11" s="20"/>
      <c r="F11" s="20"/>
      <c r="G11" s="3"/>
    </row>
    <row r="12" spans="1:7" ht="57" customHeight="1" x14ac:dyDescent="0.3">
      <c r="A12" s="78"/>
      <c r="B12" s="16" t="s">
        <v>142</v>
      </c>
      <c r="C12" s="72"/>
      <c r="D12" s="72"/>
      <c r="E12" s="72"/>
      <c r="F12" s="72"/>
      <c r="G12" s="72"/>
    </row>
    <row r="13" spans="1:7" ht="57" customHeight="1" x14ac:dyDescent="0.3">
      <c r="A13" s="78"/>
      <c r="B13" s="16" t="s">
        <v>143</v>
      </c>
      <c r="C13" s="72"/>
      <c r="D13" s="72"/>
      <c r="E13" s="72"/>
      <c r="F13" s="72"/>
      <c r="G13" s="72"/>
    </row>
    <row r="14" spans="1:7" ht="49.8" customHeight="1" x14ac:dyDescent="0.3">
      <c r="A14" s="78" t="s">
        <v>145</v>
      </c>
      <c r="B14" s="16" t="s">
        <v>150</v>
      </c>
      <c r="C14" s="72"/>
      <c r="D14" s="72"/>
      <c r="E14" s="72"/>
      <c r="F14" s="72"/>
      <c r="G14" s="72"/>
    </row>
    <row r="15" spans="1:7" ht="49.8" customHeight="1" x14ac:dyDescent="0.3">
      <c r="A15" s="78"/>
      <c r="B15" s="16" t="s">
        <v>147</v>
      </c>
      <c r="C15" s="72"/>
      <c r="D15" s="72"/>
      <c r="E15" s="72"/>
      <c r="F15" s="72"/>
      <c r="G15" s="72"/>
    </row>
    <row r="16" spans="1:7" ht="49.8" customHeight="1" x14ac:dyDescent="0.3">
      <c r="A16" s="78"/>
      <c r="B16" s="16" t="s">
        <v>148</v>
      </c>
      <c r="C16" s="72"/>
      <c r="D16" s="72"/>
      <c r="E16" s="72"/>
      <c r="F16" s="72"/>
      <c r="G16" s="72"/>
    </row>
    <row r="17" spans="1:7" ht="49.8" customHeight="1" x14ac:dyDescent="0.3">
      <c r="A17" s="78"/>
      <c r="B17" s="16" t="s">
        <v>149</v>
      </c>
      <c r="C17" s="72"/>
      <c r="D17" s="72"/>
      <c r="E17" s="72"/>
      <c r="F17" s="72"/>
      <c r="G17" s="72"/>
    </row>
    <row r="18" spans="1:7" ht="49.8" customHeight="1" x14ac:dyDescent="0.3">
      <c r="A18" s="78"/>
      <c r="B18" s="16" t="s">
        <v>146</v>
      </c>
      <c r="C18" s="72"/>
      <c r="D18" s="72"/>
      <c r="E18" s="72"/>
      <c r="F18" s="72"/>
      <c r="G18" s="72"/>
    </row>
    <row r="19" spans="1:7" ht="51.6" customHeight="1" x14ac:dyDescent="0.3">
      <c r="A19" s="78" t="s">
        <v>151</v>
      </c>
      <c r="B19" s="16" t="s">
        <v>155</v>
      </c>
      <c r="C19" s="72"/>
      <c r="D19" s="72"/>
      <c r="E19" s="72"/>
      <c r="F19" s="72"/>
      <c r="G19" s="72"/>
    </row>
    <row r="20" spans="1:7" ht="51.6" customHeight="1" x14ac:dyDescent="0.3">
      <c r="A20" s="78"/>
      <c r="B20" s="16" t="s">
        <v>153</v>
      </c>
      <c r="C20" s="72"/>
      <c r="D20" s="72"/>
      <c r="E20" s="72"/>
      <c r="F20" s="72"/>
      <c r="G20" s="72"/>
    </row>
    <row r="21" spans="1:7" ht="51.6" customHeight="1" x14ac:dyDescent="0.3">
      <c r="A21" s="78"/>
      <c r="B21" s="16" t="s">
        <v>23</v>
      </c>
      <c r="C21" s="72"/>
      <c r="D21" s="72"/>
      <c r="E21" s="72"/>
      <c r="F21" s="72"/>
      <c r="G21" s="72"/>
    </row>
    <row r="22" spans="1:7" ht="51.6" customHeight="1" x14ac:dyDescent="0.3">
      <c r="A22" s="78"/>
      <c r="B22" s="16" t="s">
        <v>154</v>
      </c>
      <c r="C22" s="72"/>
      <c r="D22" s="72"/>
      <c r="E22" s="72"/>
      <c r="F22" s="72"/>
      <c r="G22" s="72"/>
    </row>
  </sheetData>
  <mergeCells count="7">
    <mergeCell ref="A14:A18"/>
    <mergeCell ref="A19:A22"/>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BreakPreview" zoomScale="55" zoomScaleNormal="55" zoomScaleSheetLayoutView="55" workbookViewId="0">
      <selection activeCell="B3" sqref="B3:D3"/>
    </sheetView>
  </sheetViews>
  <sheetFormatPr defaultColWidth="108" defaultRowHeight="15" x14ac:dyDescent="0.3"/>
  <cols>
    <col min="1" max="1" width="3.33203125" style="63" customWidth="1"/>
    <col min="2" max="2" width="14.21875" style="63" customWidth="1"/>
    <col min="3" max="3" width="108" style="63"/>
    <col min="4" max="4" width="142.33203125" style="63" customWidth="1"/>
    <col min="5" max="5" width="3.33203125" style="63" customWidth="1"/>
    <col min="6" max="16384" width="108" style="63"/>
  </cols>
  <sheetData>
    <row r="1" spans="2:4" ht="109.95" customHeight="1" x14ac:dyDescent="0.3"/>
    <row r="2" spans="2:4" ht="235.8" customHeight="1" x14ac:dyDescent="1.8">
      <c r="B2" s="120" t="s">
        <v>79</v>
      </c>
      <c r="C2" s="120"/>
      <c r="D2" s="120"/>
    </row>
    <row r="3" spans="2:4" ht="331.2" customHeight="1" x14ac:dyDescent="0.3">
      <c r="B3" s="121" t="s">
        <v>80</v>
      </c>
      <c r="C3" s="121"/>
      <c r="D3" s="121"/>
    </row>
    <row r="4" spans="2:4" ht="28.2" x14ac:dyDescent="0.3">
      <c r="B4" s="106" t="s">
        <v>75</v>
      </c>
      <c r="C4" s="106"/>
      <c r="D4" s="60"/>
    </row>
    <row r="5" spans="2:4" ht="28.2" x14ac:dyDescent="0.3">
      <c r="B5" s="106" t="s">
        <v>74</v>
      </c>
      <c r="C5" s="106"/>
      <c r="D5" s="60"/>
    </row>
    <row r="6" spans="2:4" ht="28.2" x14ac:dyDescent="0.3">
      <c r="B6" s="106" t="s">
        <v>76</v>
      </c>
      <c r="C6" s="106"/>
      <c r="D6" s="60"/>
    </row>
    <row r="7" spans="2:4" ht="28.8" customHeight="1" thickBot="1" x14ac:dyDescent="0.35">
      <c r="B7" s="105" t="s">
        <v>73</v>
      </c>
      <c r="C7" s="105"/>
      <c r="D7" s="64"/>
    </row>
    <row r="8" spans="2:4" ht="28.8" thickTop="1" x14ac:dyDescent="0.3">
      <c r="C8" s="62" t="s">
        <v>7</v>
      </c>
      <c r="D8" s="62"/>
    </row>
    <row r="9" spans="2:4" ht="28.2" x14ac:dyDescent="0.3">
      <c r="C9" s="122" t="s">
        <v>174</v>
      </c>
      <c r="D9" s="122"/>
    </row>
    <row r="10" spans="2:4" ht="28.2" x14ac:dyDescent="0.3">
      <c r="C10" s="122" t="s">
        <v>129</v>
      </c>
      <c r="D10" s="122"/>
    </row>
    <row r="11" spans="2:4" ht="25.8" customHeight="1" thickBot="1" x14ac:dyDescent="0.35">
      <c r="C11" s="70"/>
      <c r="D11" s="70"/>
    </row>
    <row r="12" spans="2:4" s="62" customFormat="1" ht="28.2" x14ac:dyDescent="0.3">
      <c r="B12" s="107" t="s">
        <v>157</v>
      </c>
      <c r="C12" s="108"/>
      <c r="D12" s="109"/>
    </row>
    <row r="13" spans="2:4" s="62" customFormat="1" ht="28.8" thickBot="1" x14ac:dyDescent="0.35">
      <c r="B13" s="110" t="s">
        <v>74</v>
      </c>
      <c r="C13" s="111"/>
      <c r="D13" s="112"/>
    </row>
    <row r="14" spans="2:4" s="62" customFormat="1" ht="28.8" customHeight="1" thickBot="1" x14ac:dyDescent="0.35">
      <c r="B14" s="113" t="s">
        <v>156</v>
      </c>
      <c r="C14" s="114"/>
      <c r="D14" s="65" t="s">
        <v>74</v>
      </c>
    </row>
    <row r="15" spans="2:4" s="62" customFormat="1" ht="28.8" thickBot="1" x14ac:dyDescent="0.35">
      <c r="B15" s="110" t="s">
        <v>8</v>
      </c>
      <c r="C15" s="111"/>
      <c r="D15" s="112"/>
    </row>
    <row r="16" spans="2:4" s="62" customFormat="1" ht="28.2" x14ac:dyDescent="0.3">
      <c r="B16" s="66" t="s">
        <v>132</v>
      </c>
      <c r="C16" s="67" t="s">
        <v>133</v>
      </c>
      <c r="D16" s="68"/>
    </row>
    <row r="17" spans="2:5" s="62" customFormat="1" ht="88.8" customHeight="1" x14ac:dyDescent="0.3">
      <c r="B17" s="115" t="s">
        <v>175</v>
      </c>
      <c r="C17" s="106"/>
      <c r="D17" s="116"/>
      <c r="E17" s="60"/>
    </row>
    <row r="18" spans="2:5" s="62" customFormat="1" ht="409.2" customHeight="1" x14ac:dyDescent="0.3">
      <c r="B18" s="115" t="s">
        <v>176</v>
      </c>
      <c r="C18" s="106"/>
      <c r="D18" s="116"/>
      <c r="E18" s="60"/>
    </row>
    <row r="19" spans="2:5" s="62" customFormat="1" ht="43.8" customHeight="1" x14ac:dyDescent="0.3">
      <c r="B19" s="115"/>
      <c r="C19" s="106"/>
      <c r="D19" s="116"/>
    </row>
    <row r="20" spans="2:5" s="62" customFormat="1" ht="28.2" x14ac:dyDescent="0.3">
      <c r="B20" s="117" t="s">
        <v>160</v>
      </c>
      <c r="C20" s="118"/>
      <c r="D20" s="119"/>
    </row>
    <row r="21" spans="2:5" s="62" customFormat="1" ht="28.2" x14ac:dyDescent="0.3">
      <c r="B21" s="61" t="s">
        <v>161</v>
      </c>
      <c r="D21" s="74"/>
    </row>
    <row r="22" spans="2:5" s="62" customFormat="1" ht="28.2" x14ac:dyDescent="0.3">
      <c r="B22" s="61" t="s">
        <v>162</v>
      </c>
      <c r="D22" s="74"/>
    </row>
    <row r="23" spans="2:5" s="62" customFormat="1" ht="28.2" x14ac:dyDescent="0.3">
      <c r="B23" s="61" t="s">
        <v>163</v>
      </c>
      <c r="D23" s="74"/>
    </row>
    <row r="24" spans="2:5" s="62" customFormat="1" ht="28.2" x14ac:dyDescent="0.3">
      <c r="B24" s="61" t="s">
        <v>164</v>
      </c>
      <c r="D24" s="74"/>
    </row>
    <row r="25" spans="2:5" s="62" customFormat="1" ht="28.2" x14ac:dyDescent="0.3">
      <c r="B25" s="61" t="s">
        <v>165</v>
      </c>
      <c r="D25" s="74"/>
    </row>
    <row r="26" spans="2:5" s="62" customFormat="1" ht="28.2" customHeight="1" x14ac:dyDescent="0.3">
      <c r="B26" s="61" t="s">
        <v>166</v>
      </c>
      <c r="D26" s="74"/>
    </row>
    <row r="27" spans="2:5" s="62" customFormat="1" ht="28.2" x14ac:dyDescent="0.3">
      <c r="B27" s="117" t="s">
        <v>158</v>
      </c>
      <c r="C27" s="118"/>
      <c r="D27" s="119"/>
    </row>
    <row r="28" spans="2:5" s="62" customFormat="1" ht="28.2" x14ac:dyDescent="0.3">
      <c r="B28" s="61" t="s">
        <v>159</v>
      </c>
      <c r="C28" s="60"/>
      <c r="D28" s="73"/>
    </row>
    <row r="29" spans="2:5" s="62" customFormat="1" ht="28.2" x14ac:dyDescent="0.3">
      <c r="B29" s="117" t="s">
        <v>167</v>
      </c>
      <c r="C29" s="118"/>
      <c r="D29" s="74"/>
    </row>
    <row r="30" spans="2:5" s="62" customFormat="1" ht="28.2" x14ac:dyDescent="0.3">
      <c r="B30" s="117" t="s">
        <v>168</v>
      </c>
      <c r="C30" s="118"/>
      <c r="D30" s="74"/>
    </row>
    <row r="31" spans="2:5" s="62" customFormat="1" ht="28.2" x14ac:dyDescent="0.3">
      <c r="B31" s="61" t="s">
        <v>169</v>
      </c>
      <c r="C31" s="60"/>
      <c r="D31" s="74"/>
    </row>
    <row r="32" spans="2:5" s="62" customFormat="1" ht="28.2" x14ac:dyDescent="0.3">
      <c r="B32" s="61" t="s">
        <v>170</v>
      </c>
      <c r="C32" s="60"/>
      <c r="D32" s="74"/>
    </row>
    <row r="33" spans="2:4" s="62" customFormat="1" ht="28.8" thickBot="1" x14ac:dyDescent="0.35">
      <c r="B33" s="101" t="s">
        <v>130</v>
      </c>
      <c r="C33" s="102"/>
      <c r="D33" s="103"/>
    </row>
    <row r="34" spans="2:4" s="62" customFormat="1" ht="28.2" x14ac:dyDescent="0.3">
      <c r="B34" s="104" t="s">
        <v>16</v>
      </c>
      <c r="C34" s="104"/>
      <c r="D34" s="62" t="s">
        <v>17</v>
      </c>
    </row>
    <row r="35" spans="2:4" ht="2.5499999999999998" customHeight="1" x14ac:dyDescent="0.3">
      <c r="C35" s="69"/>
      <c r="D35" s="69"/>
    </row>
  </sheetData>
  <mergeCells count="20">
    <mergeCell ref="B2:D2"/>
    <mergeCell ref="B3:D3"/>
    <mergeCell ref="B4:C4"/>
    <mergeCell ref="C9:D9"/>
    <mergeCell ref="C10:D10"/>
    <mergeCell ref="B33:D33"/>
    <mergeCell ref="B34:C34"/>
    <mergeCell ref="B7:C7"/>
    <mergeCell ref="B5:C5"/>
    <mergeCell ref="B6:C6"/>
    <mergeCell ref="B12:D12"/>
    <mergeCell ref="B13:D13"/>
    <mergeCell ref="B14:C14"/>
    <mergeCell ref="B15:D15"/>
    <mergeCell ref="B18:D19"/>
    <mergeCell ref="B17:D17"/>
    <mergeCell ref="B27:D27"/>
    <mergeCell ref="B20:D20"/>
    <mergeCell ref="B29:C29"/>
    <mergeCell ref="B30:C30"/>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cp:lastModifiedBy>
  <cp:lastPrinted>2022-10-14T10:10:09Z</cp:lastPrinted>
  <dcterms:created xsi:type="dcterms:W3CDTF">2022-10-04T09:35:30Z</dcterms:created>
  <dcterms:modified xsi:type="dcterms:W3CDTF">2022-10-27T02:18:21Z</dcterms:modified>
</cp:coreProperties>
</file>