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https://pxpayplus2222-my.sharepoint.com/personal/jacob_wang_pxpayplus_com/Documents/Audit_RPA/1.底稿自動化/2.自動化底稿/"/>
    </mc:Choice>
  </mc:AlternateContent>
  <xr:revisionPtr revIDLastSave="36" documentId="13_ncr:1_{BF3C920B-F412-43BC-863F-3FC5734CF8C7}" xr6:coauthVersionLast="47" xr6:coauthVersionMax="47" xr10:uidLastSave="{03479FC9-9E70-421B-A504-17756D3407D8}"/>
  <bookViews>
    <workbookView xWindow="-108" yWindow="-108" windowWidth="23256" windowHeight="12456" activeTab="6" xr2:uid="{863396A8-CC95-4158-B08E-7FCF27C09CF2}"/>
  </bookViews>
  <sheets>
    <sheet name="Variable" sheetId="3" r:id="rId1"/>
    <sheet name="Temporary" sheetId="8" state="hidden" r:id="rId2"/>
    <sheet name="Temporary2" sheetId="9" state="hidden" r:id="rId3"/>
    <sheet name="報告藍本" sheetId="13" r:id="rId4"/>
    <sheet name="調閱清單" sheetId="4" r:id="rId5"/>
    <sheet name="工作底稿" sheetId="1" r:id="rId6"/>
    <sheet name="查核稽核報告" sheetId="2" r:id="rId7"/>
  </sheets>
  <definedNames>
    <definedName name="_Hlk109226883" localSheetId="5">工作底稿!#REF!</definedName>
    <definedName name="_Hlk48225127" localSheetId="6">查核稽核報告!#REF!</definedName>
    <definedName name="_Hlk54021806" localSheetId="4">調閱清單!#REF!</definedName>
    <definedName name="_xlnm.Print_Area" localSheetId="5">工作底稿!$A$1:$G$14</definedName>
    <definedName name="_xlnm.Print_Area" localSheetId="6">查核稽核報告!$A$1:$E$35</definedName>
    <definedName name="_xlnm.Print_Area" localSheetId="4">調閱清單!$A$1:$C$7</definedName>
    <definedName name="外部資料_1" localSheetId="1" hidden="1">Temporary!$F$4:$I$12</definedName>
    <definedName name="外部資料_1" localSheetId="0" hidden="1">Variable!#REF!</definedName>
    <definedName name="外部資料_2" localSheetId="1" hidden="1">Temporary!$K$4:$K$8</definedName>
  </definedNames>
  <calcPr calcId="191028"/>
  <pivotCaches>
    <pivotCache cacheId="1"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查核作業_c555e2ef-e923-45d9-81e4-6f7bcd772d67" name="查核作業" connection="查詢 - 查核作業"/>
          <x15:modelTable id="作業清單_da66ae9e-522f-4e4d-824d-27041d495a34" name="作業清單" connection="查詢 - 作業清單"/>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3" l="1"/>
  <c r="C3" i="13"/>
  <c r="C4" i="13"/>
  <c r="C5" i="13"/>
  <c r="C6" i="13"/>
  <c r="C7" i="13"/>
  <c r="C8" i="13"/>
  <c r="C9" i="13"/>
  <c r="H3" i="13" a="1"/>
  <c r="H3" i="13" s="1"/>
  <c r="D32" i="8" s="1"/>
  <c r="F3" i="13"/>
  <c r="F4" i="13"/>
  <c r="F5" i="13"/>
  <c r="F6" i="13"/>
  <c r="F7" i="13"/>
  <c r="F8" i="13"/>
  <c r="F9" i="13"/>
  <c r="D5" i="13"/>
  <c r="D6" i="13"/>
  <c r="D7" i="13"/>
  <c r="D3" i="13"/>
  <c r="D8" i="13"/>
  <c r="D9" i="13"/>
  <c r="D4" i="1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5" i="3"/>
  <c r="B16" i="3"/>
  <c r="B17" i="3"/>
  <c r="B18" i="3"/>
  <c r="B19" i="3"/>
  <c r="B20" i="3"/>
  <c r="B21" i="3"/>
  <c r="D13" i="8"/>
  <c r="D10" i="8"/>
  <c r="D8" i="8"/>
  <c r="D6" i="8"/>
  <c r="D7" i="3"/>
  <c r="D9" i="3" s="1"/>
  <c r="N3" i="13" l="1"/>
  <c r="D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tc={A6A5DA66-EF20-45E9-89C9-44FA0180F6F4}</author>
    <author>tc={A8220C3C-A516-487D-AC12-492DDF2C475E}</author>
    <author>jacob</author>
  </authors>
  <commentList>
    <comment ref="A2" authorId="0" shapeId="0" xr:uid="{A6A5DA66-EF20-45E9-89C9-44FA0180F6F4}">
      <text>
        <t>[對話串註解]
您的 Excel 版本可讓您讀取此對話串註解; 但若以較新的 Excel 版本開啟此檔案，將會移除對它進行的所有編輯。深入了解: https://go.microsoft.com/fwlink/?linkid=870924。
註解:
    IF(LEN(Variable!B14&amp;Variable!C14)&gt;4,Variable!B14&amp;Variable!C14,"")</t>
      </text>
    </comment>
    <comment ref="F2" authorId="1" shapeId="0" xr:uid="{A8220C3C-A516-487D-AC12-492DDF2C475E}">
      <text>
        <t>[對話串註解]
您的 Excel 版本可讓您讀取此對話串註解; 但若以較新的 Excel 版本開啟此檔案，將會移除對它進行的所有編輯。深入了解: https://go.microsoft.com/fwlink/?linkid=870924。
註解:
    IF(LEN([@報告內容])&gt;0,Temporary!S5&amp;Temporary!Q5&amp;[@報告內容],"")</t>
      </text>
    </comment>
    <comment ref="N3" authorId="2" shapeId="0" xr:uid="{920B1C1C-88AE-4C67-A04E-3E1CDB08F94A}">
      <text>
        <r>
          <rPr>
            <b/>
            <sz val="9"/>
            <color indexed="81"/>
            <rFont val="Tahoma"/>
            <family val="2"/>
          </rPr>
          <t>jacob:</t>
        </r>
        <r>
          <rPr>
            <sz val="9"/>
            <color indexed="81"/>
            <rFont val="Tahoma"/>
            <family val="2"/>
          </rPr>
          <t xml:space="preserve">
</t>
        </r>
        <r>
          <rPr>
            <sz val="9"/>
            <color indexed="81"/>
            <rFont val="細明體"/>
            <family val="3"/>
            <charset val="136"/>
          </rPr>
          <t>用樞紐來呈現，再用</t>
        </r>
        <r>
          <rPr>
            <sz val="9"/>
            <color indexed="81"/>
            <rFont val="Tahoma"/>
            <family val="2"/>
          </rPr>
          <t>if else</t>
        </r>
        <r>
          <rPr>
            <sz val="9"/>
            <color indexed="81"/>
            <rFont val="細明體"/>
            <family val="3"/>
            <charset val="136"/>
          </rPr>
          <t xml:space="preserve">抓去報告貼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EEA36-6399-4177-AE10-FB05361D32C3}" keepAlive="1" name="ModelConnection_外部資料_2" description="資料模型" type="5" refreshedVersion="8" minRefreshableVersion="5" saveData="1">
    <dbPr connection="Data Model Connection" command="作業清單" commandType="3"/>
    <extLst>
      <ext xmlns:x15="http://schemas.microsoft.com/office/spreadsheetml/2010/11/main" uri="{DE250136-89BD-433C-8126-D09CA5730AF9}">
        <x15:connection id="" model="1"/>
      </ext>
    </extLst>
  </connection>
  <connection id="2" xr16:uid="{47DBBF13-6E6D-4464-9BD2-DDF9CF7EF32E}"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A075652-9E97-4E50-A228-A3374563E119}" keepAlive="1" name="查詢 - 引用法規" description="與活頁簿中 '引用法規' 查詢的連接。" type="5" refreshedVersion="8" background="1" saveData="1">
    <dbPr connection="Provider=Microsoft.Mashup.OleDb.1;Data Source=$Workbook$;Location=引用法規;Extended Properties=&quot;&quot;" command="SELECT * FROM [引用法規]"/>
  </connection>
  <connection id="4" xr16:uid="{F5359851-DD3B-4BAB-860D-BBD18AECA9EA}" name="查詢 - 作業清單" description="與活頁簿中 '作業清單' 查詢的連接。" type="100" refreshedVersion="8" minRefreshableVersion="5">
    <extLst>
      <ext xmlns:x15="http://schemas.microsoft.com/office/spreadsheetml/2010/11/main" uri="{DE250136-89BD-433C-8126-D09CA5730AF9}">
        <x15:connection id="e5d23219-61f1-4ec6-b3c2-17833508e399"/>
      </ext>
    </extLst>
  </connection>
  <connection id="5" xr16:uid="{E3FFAEAF-F7E8-4432-A77D-F4C1E8A48629}" name="查詢 - 查核作業" description="與活頁簿中 '查核作業' 查詢的連接。" type="100" refreshedVersion="8" minRefreshableVersion="5">
    <extLst>
      <ext xmlns:x15="http://schemas.microsoft.com/office/spreadsheetml/2010/11/main" uri="{DE250136-89BD-433C-8126-D09CA5730AF9}">
        <x15:connection id="f0a9f01a-dfaf-4dbf-bdb1-d2ace12db5a3"/>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<sst xmlns="http://schemas.openxmlformats.org/spreadsheetml/2006/main" count="389" uniqueCount="179">
  <si>
    <t>底稿索引</t>
  </si>
  <si>
    <t>是</t>
  </si>
  <si>
    <t>否</t>
  </si>
  <si>
    <t>查核項目</t>
  </si>
  <si>
    <t>檢查、評估情形</t>
  </si>
  <si>
    <t>不適用</t>
  </si>
  <si>
    <t>實際執行事項說明</t>
    <phoneticPr fontId="1" type="noConversion"/>
  </si>
  <si>
    <t xml:space="preserve">  </t>
  </si>
  <si>
    <t>查核評估事項</t>
  </si>
  <si>
    <t xml:space="preserve">查核目的：■年度稽核計畫    ■一般查核    □專案查核  </t>
  </si>
  <si>
    <t>查核人員</t>
    <phoneticPr fontId="1" type="noConversion"/>
  </si>
  <si>
    <t>查核基準日</t>
    <phoneticPr fontId="1" type="noConversion"/>
  </si>
  <si>
    <t>當日</t>
    <phoneticPr fontId="1" type="noConversion"/>
  </si>
  <si>
    <t>裴古瑞</t>
    <phoneticPr fontId="1" type="noConversion"/>
  </si>
  <si>
    <t>王建智</t>
  </si>
  <si>
    <t>受查單位</t>
    <phoneticPr fontId="1" type="noConversion"/>
  </si>
  <si>
    <t xml:space="preserve">稽核主管： </t>
    <phoneticPr fontId="1" type="noConversion"/>
  </si>
  <si>
    <t>稽核人員：</t>
    <phoneticPr fontId="1" type="noConversion"/>
  </si>
  <si>
    <t>查核範圍期間</t>
    <phoneticPr fontId="1" type="noConversion"/>
  </si>
  <si>
    <t>調閱清單</t>
    <phoneticPr fontId="8" type="noConversion"/>
  </si>
  <si>
    <r>
      <t>請準備以下查核之資料，</t>
    </r>
    <r>
      <rPr>
        <b/>
        <sz val="14"/>
        <color rgb="FFFF0000"/>
        <rFont val="標楷體"/>
        <family val="4"/>
        <charset val="136"/>
      </rPr>
      <t>於9月22日前陸續提供所需資料或說明文字檔</t>
    </r>
    <r>
      <rPr>
        <sz val="14"/>
        <color theme="1"/>
        <rFont val="標楷體"/>
        <family val="4"/>
        <charset val="136"/>
      </rPr>
      <t>，如於受查期間未發生該作業程序請於說明欄位(實際執行事項說明)處填寫"未發生"；或該作業程序目前未有現行實務做法，可先就該項目陳述未來規劃作業之方式，並請儘量以電子檔提供相關資料作為附件，謝謝。</t>
    </r>
    <phoneticPr fontId="8" type="noConversion"/>
  </si>
  <si>
    <t>查核作業</t>
    <phoneticPr fontId="1" type="noConversion"/>
  </si>
  <si>
    <t>查核項目</t>
    <phoneticPr fontId="1" type="noConversion"/>
  </si>
  <si>
    <t>有關資訊作業委外相關事項是否依據本公司「第三方服務資訊安全管理辦法」之要求據以執行。</t>
  </si>
  <si>
    <t>查核作業</t>
  </si>
  <si>
    <t>說明：</t>
  </si>
  <si>
    <t>說明：</t>
    <phoneticPr fontId="1" type="noConversion"/>
  </si>
  <si>
    <t>作業清單</t>
  </si>
  <si>
    <t>，並依據金融監督管理委員會</t>
  </si>
  <si>
    <t>內部控制制度</t>
  </si>
  <si>
    <t>內部控制制度</t>
    <phoneticPr fontId="1" type="noConversion"/>
  </si>
  <si>
    <t>外部法規</t>
  </si>
  <si>
    <t>外部法規</t>
    <phoneticPr fontId="1" type="noConversion"/>
  </si>
  <si>
    <t>金融機構提供行動裝置應用程式作業規範</t>
  </si>
  <si>
    <t>金融機構運用新興科技作業規範</t>
  </si>
  <si>
    <t>電子支付機構資訊系統標準及安全控管作業基準</t>
    <phoneticPr fontId="1" type="noConversion"/>
  </si>
  <si>
    <t>等主管機關之主要規範以及本公司</t>
  </si>
  <si>
    <t>資訊系統授權暨維護管理辦法</t>
  </si>
  <si>
    <t>資料存取及維護管理辦法</t>
  </si>
  <si>
    <t>資料備份暨媒體管理辦法</t>
  </si>
  <si>
    <t>資訊作業營運持續管理辦法</t>
  </si>
  <si>
    <t>資訊安全事件管理辦法</t>
  </si>
  <si>
    <t>網路暨通訊安全管理辦法</t>
  </si>
  <si>
    <t>金鑰管理辦法</t>
  </si>
  <si>
    <t>資訊系統開發、變更與維護管理辦法</t>
    <phoneticPr fontId="1" type="noConversion"/>
  </si>
  <si>
    <t>、基本作業循環內部控制制度之</t>
  </si>
  <si>
    <t>資訊作業循環</t>
  </si>
  <si>
    <t xml:space="preserve"> 等主要規範進行查核，相關查核作業項目及重點說明如下:</t>
  </si>
  <si>
    <t>Step4.開始撰寫報告時，在這裡確認引用了那些法規。</t>
    <phoneticPr fontId="1" type="noConversion"/>
  </si>
  <si>
    <t>Step1.確認相關基本資料是否正確</t>
    <phoneticPr fontId="1" type="noConversion"/>
  </si>
  <si>
    <t>說明：此處需填上必須文字，會直接連動報表的查核人員、日期、單位。</t>
  </si>
  <si>
    <t>說明：此處將直接帶入調閱清單及工作底稿。</t>
  </si>
  <si>
    <r>
      <t>Step2.</t>
    </r>
    <r>
      <rPr>
        <b/>
        <sz val="14"/>
        <rFont val="細明體"/>
        <family val="3"/>
        <charset val="136"/>
      </rPr>
      <t>開始撰寫查核作業、查核項目及實際執行事項說明</t>
    </r>
    <phoneticPr fontId="1" type="noConversion"/>
  </si>
  <si>
    <t>查核循環</t>
  </si>
  <si>
    <t>查核循環</t>
    <phoneticPr fontId="1" type="noConversion"/>
  </si>
  <si>
    <r>
      <t>Step3.</t>
    </r>
    <r>
      <rPr>
        <b/>
        <sz val="14"/>
        <rFont val="新細明體"/>
        <family val="2"/>
        <charset val="136"/>
      </rPr>
      <t>按一下，</t>
    </r>
    <r>
      <rPr>
        <b/>
        <sz val="14"/>
        <rFont val="細明體"/>
        <family val="2"/>
        <charset val="136"/>
      </rPr>
      <t>開始整理調閱清單、工作底稿</t>
    </r>
    <phoneticPr fontId="1" type="noConversion"/>
  </si>
  <si>
    <t>「資訊系統開發、變更與維護管理辦法」</t>
  </si>
  <si>
    <t>「資訊系統授權暨維護管理辦法」</t>
  </si>
  <si>
    <t>「資料存取及維護管理辦法」</t>
  </si>
  <si>
    <t>「資料備份暨媒體管理辦法」</t>
  </si>
  <si>
    <t>「資訊作業營運持續管理辦法」</t>
  </si>
  <si>
    <t>「資訊安全事件管理辦法」</t>
  </si>
  <si>
    <t>「網路暨通訊安全管理辦法」</t>
  </si>
  <si>
    <t>「金鑰管理辦法」</t>
  </si>
  <si>
    <t>年度稽核計畫中技術部之一般查核，查核項目：</t>
    <phoneticPr fontId="1" type="noConversion"/>
  </si>
  <si>
    <t>「電子支付機構資訊系統標準及安全控管作業基準」</t>
  </si>
  <si>
    <t>「金融機構提供行動裝置應用程式作業規範」</t>
  </si>
  <si>
    <t>「金融機構運用新興科技作業規範」</t>
  </si>
  <si>
    <t>整理前查核循環</t>
  </si>
  <si>
    <t>「資訊作業循環」</t>
  </si>
  <si>
    <t>產出結果：</t>
    <phoneticPr fontId="1" type="noConversion"/>
  </si>
  <si>
    <t>文字串接：</t>
    <phoneticPr fontId="1" type="noConversion"/>
  </si>
  <si>
    <r>
      <t>查核基準日：111</t>
    </r>
    <r>
      <rPr>
        <sz val="11"/>
        <color theme="1"/>
        <rFont val="細明體"/>
        <family val="3"/>
        <charset val="136"/>
      </rPr>
      <t>年0</t>
    </r>
    <r>
      <rPr>
        <sz val="11"/>
        <color theme="1"/>
        <rFont val="Calibri"/>
        <family val="2"/>
      </rPr>
      <t>8</t>
    </r>
    <r>
      <rPr>
        <sz val="11"/>
        <color theme="1"/>
        <rFont val="細明體"/>
        <family val="3"/>
        <charset val="136"/>
      </rPr>
      <t>月</t>
    </r>
    <r>
      <rPr>
        <sz val="11"/>
        <color theme="1"/>
        <rFont val="Calibri"/>
        <family val="2"/>
      </rPr>
      <t>31</t>
    </r>
    <r>
      <rPr>
        <sz val="11"/>
        <color theme="1"/>
        <rFont val="細明體"/>
        <family val="3"/>
        <charset val="136"/>
      </rPr>
      <t>日</t>
    </r>
    <phoneticPr fontId="1" type="noConversion"/>
  </si>
  <si>
    <t>查核人員：裴古瑞、王建智</t>
    <phoneticPr fontId="1" type="noConversion"/>
  </si>
  <si>
    <t>查核範圍期間：111年1月1日~111年08月31日</t>
    <phoneticPr fontId="1" type="noConversion"/>
  </si>
  <si>
    <t>查核基準日：111年08月31日</t>
    <phoneticPr fontId="1" type="noConversion"/>
  </si>
  <si>
    <t>審查人員：裴古瑞</t>
    <phoneticPr fontId="1" type="noConversion"/>
  </si>
  <si>
    <t xml:space="preserve">查核目的：■年度稽核計畫    □一般查核    ■專案查核  </t>
    <phoneticPr fontId="1" type="noConversion"/>
  </si>
  <si>
    <t>一般查核為True
專案查核為False</t>
    <phoneticPr fontId="1" type="noConversion"/>
  </si>
  <si>
    <t>全 支 付 電 子 支 付</t>
    <phoneticPr fontId="1" type="noConversion"/>
  </si>
  <si>
    <t>一 般 查 核 專 案 報 告</t>
    <phoneticPr fontId="1" type="noConversion"/>
  </si>
  <si>
    <t>專 案 查 核 報 告</t>
    <phoneticPr fontId="1" type="noConversion"/>
  </si>
  <si>
    <t xml:space="preserve">    本次查核為辦理本公司</t>
    <phoneticPr fontId="1" type="noConversion"/>
  </si>
  <si>
    <t>一</t>
  </si>
  <si>
    <t>二</t>
  </si>
  <si>
    <t>三</t>
  </si>
  <si>
    <t>四</t>
  </si>
  <si>
    <t>五</t>
  </si>
  <si>
    <t>六</t>
  </si>
  <si>
    <t>七</t>
  </si>
  <si>
    <t>八</t>
  </si>
  <si>
    <t>九</t>
  </si>
  <si>
    <t>十</t>
  </si>
  <si>
    <t>十一</t>
  </si>
  <si>
    <t>(</t>
  </si>
  <si>
    <t>)</t>
  </si>
  <si>
    <t>項次</t>
  </si>
  <si>
    <t>稽核報告內容</t>
    <phoneticPr fontId="1" type="noConversion"/>
  </si>
  <si>
    <t>查核報告敘述</t>
    <phoneticPr fontId="1" type="noConversion"/>
  </si>
  <si>
    <t>符號</t>
  </si>
  <si>
    <t>符號2</t>
  </si>
  <si>
    <t>符號3</t>
  </si>
  <si>
    <t>符號4</t>
  </si>
  <si>
    <t>項次2</t>
  </si>
  <si>
    <t>、</t>
  </si>
  <si>
    <t>.</t>
  </si>
  <si>
    <t>十二</t>
  </si>
  <si>
    <t>十三</t>
  </si>
  <si>
    <t>十四</t>
  </si>
  <si>
    <t>十五</t>
  </si>
  <si>
    <t>十六</t>
  </si>
  <si>
    <t>十七</t>
  </si>
  <si>
    <t>十八</t>
  </si>
  <si>
    <t>十九</t>
  </si>
  <si>
    <t>二十</t>
  </si>
  <si>
    <t>組合項次</t>
    <phoneticPr fontId="1" type="noConversion"/>
  </si>
  <si>
    <t>查核內容</t>
    <phoneticPr fontId="1" type="noConversion"/>
  </si>
  <si>
    <t>報告內容</t>
    <phoneticPr fontId="1" type="noConversion"/>
  </si>
  <si>
    <t>依輸出內容</t>
    <phoneticPr fontId="1" type="noConversion"/>
  </si>
  <si>
    <t>順序</t>
    <phoneticPr fontId="1" type="noConversion"/>
  </si>
  <si>
    <t>條列式內容</t>
    <phoneticPr fontId="1" type="noConversion"/>
  </si>
  <si>
    <t>欲輸出畫面</t>
  </si>
  <si>
    <t>文章式內容</t>
    <phoneticPr fontId="1" type="noConversion"/>
  </si>
  <si>
    <t>依左側查核內容撰寫稽核報告</t>
    <phoneticPr fontId="1" type="noConversion"/>
  </si>
  <si>
    <t>空白</t>
    <phoneticPr fontId="1" type="noConversion"/>
  </si>
  <si>
    <t xml:space="preserve">    </t>
    <phoneticPr fontId="1" type="noConversion"/>
  </si>
  <si>
    <t xml:space="preserve">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t>
    <phoneticPr fontId="1" type="noConversion"/>
  </si>
  <si>
    <t xml:space="preserve">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t>
    <phoneticPr fontId="1" type="noConversion"/>
  </si>
  <si>
    <t xml:space="preserve">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t>
    <phoneticPr fontId="1" type="noConversion"/>
  </si>
  <si>
    <t xml:space="preserve">                             全支付電子支付  稽核室</t>
  </si>
  <si>
    <t xml:space="preserve">董事長（簽章/日期）: </t>
  </si>
  <si>
    <t xml:space="preserve">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t>
    <phoneticPr fontId="1" type="noConversion"/>
  </si>
  <si>
    <t>一、</t>
    <phoneticPr fontId="1" type="noConversion"/>
  </si>
  <si>
    <t>綜合評述/本次查核情形之重點說明：</t>
    <phoneticPr fontId="1" type="noConversion"/>
  </si>
  <si>
    <t>一、使用者徵審管理作業</t>
  </si>
  <si>
    <t>本公司受理線上使用者申請時，是否依其留存身分資料於確認後提供對應之電子支付帳戶，且各類型帳戶收付額度以定額為限。</t>
  </si>
  <si>
    <t>使用者之資料是否存入全支付後台管理系統，且使用者收款額度或額度調整等事項是否保留紀錄。</t>
  </si>
  <si>
    <t>若使用者之收款額度如有逾越一般管理額度時，是否經過權責主管核准後並保留相關紀錄。</t>
  </si>
  <si>
    <t>本公司線上申請之使用者欲調整交易額度是否符合相關規定。</t>
  </si>
  <si>
    <t>二、通路商業務洽談與評估作業</t>
  </si>
  <si>
    <t>本公司通路商業務模式及資料是否有列表控管。</t>
  </si>
  <si>
    <t>是否定期評估通路商效益，且評估後若有未符合預期者是否提出改善方式。</t>
  </si>
  <si>
    <t>業務部提供業務合作分析之內容是否符合公司營運方向。</t>
  </si>
  <si>
    <t>與通路商合約簽定前是否有充分與相關單位溝通。</t>
  </si>
  <si>
    <t>是否適時審視各類通路商費率等條件以保障本公司權益。</t>
  </si>
  <si>
    <t>三、通路商付款及入帳作業</t>
  </si>
  <si>
    <t>與通路商對帳之資訊是否與實際入帳金額一致。</t>
  </si>
  <si>
    <t>通路商提供之相關憑證內容是否與合約內容相符。</t>
  </si>
  <si>
    <t>給付通路商之金額成本認列是否符合相關法規要求。</t>
  </si>
  <si>
    <t>業務部是否提供客戶付款明細供財務部作為沖帳收款之依據。</t>
  </si>
  <si>
    <t>若有應收帳款因退貨或折讓，是否由業務部開立「應收帳款異動通知申請單」及「客戶退貨申請單」後交由財務部進行帳務處理。</t>
  </si>
  <si>
    <t>四、 委外管理作業管理</t>
  </si>
  <si>
    <r>
      <t>四、</t>
    </r>
    <r>
      <rPr>
        <sz val="11"/>
        <rFont val="Calibri"/>
        <family val="2"/>
      </rPr>
      <t xml:space="preserve"> </t>
    </r>
    <r>
      <rPr>
        <sz val="11"/>
        <rFont val="細明體"/>
        <family val="3"/>
        <charset val="136"/>
      </rPr>
      <t>委外管理作業管理</t>
    </r>
  </si>
  <si>
    <t>本公司收付訊息處理作業委外之管理，是否符合相關規範辦理。</t>
  </si>
  <si>
    <t>承上，業務部是否針對該委外業務至少每半年對受託機構辦理相關檢核作業。</t>
  </si>
  <si>
    <t>本公司代收以新臺幣繳納儲值款項作業委外之管理，是否符合相關規範辦理。</t>
  </si>
  <si>
    <t>受查單位：業務部</t>
    <phoneticPr fontId="1" type="noConversion"/>
  </si>
  <si>
    <t xml:space="preserve">查核目的：■年度稽核計畫    ■一般查核    □專案查核  </t>
    <phoneticPr fontId="1" type="noConversion"/>
  </si>
  <si>
    <t>九、使用者及特約機構資料保密管理：不適用</t>
    <phoneticPr fontId="1" type="noConversion"/>
  </si>
  <si>
    <t>十、資訊管理：除下列發現事項外，其餘尚符合相關規定。</t>
    <phoneticPr fontId="1" type="noConversion"/>
  </si>
  <si>
    <t>二、財務狀況：不適用。</t>
    <phoneticPr fontId="1" type="noConversion"/>
  </si>
  <si>
    <t>三、經營績效：不適用。</t>
    <phoneticPr fontId="1" type="noConversion"/>
  </si>
  <si>
    <t>四、資產品質：不適用。</t>
    <phoneticPr fontId="1" type="noConversion"/>
  </si>
  <si>
    <t>五、董事會議事運作之管理：不適用。</t>
    <phoneticPr fontId="1" type="noConversion"/>
  </si>
  <si>
    <t>六、法令遵循：尚符合規定。</t>
    <phoneticPr fontId="1" type="noConversion"/>
  </si>
  <si>
    <t>七、內部控制：尚符合規定。</t>
    <phoneticPr fontId="1" type="noConversion"/>
  </si>
  <si>
    <t>八、各項業務作業控制與內部管理：除下列發現事項外，其餘尚符合相關規定。</t>
    <phoneticPr fontId="1" type="noConversion"/>
  </si>
  <si>
    <t>十一、員工保密教育：尚符合規定。</t>
    <phoneticPr fontId="1" type="noConversion"/>
  </si>
  <si>
    <t>十二、金融消費者權益保護措施：不適用。</t>
    <phoneticPr fontId="1" type="noConversion"/>
  </si>
  <si>
    <t>十三、自行查核辦理情形：辦理自行查核作業尚符合規定。</t>
    <phoneticPr fontId="1" type="noConversion"/>
  </si>
  <si>
    <t>十四、其他說明事項：無。</t>
    <phoneticPr fontId="1" type="noConversion"/>
  </si>
  <si>
    <t xml:space="preserve">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t>
    <phoneticPr fontId="1" type="noConversion"/>
  </si>
  <si>
    <t>test1</t>
    <phoneticPr fontId="1" type="noConversion"/>
  </si>
  <si>
    <t xml:space="preserve">    本次查核為辦理本公司111年度稽核計畫中技術部之一般查核，查核項目：一、使用者徵審管理作業、二、通路商業務洽談與評估作業、三、通路商付款及入帳作業、四、 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資訊作業循環」 等主要規範進行查核，相關查核作業項目及重點說明如下:</t>
    <phoneticPr fontId="1" type="noConversion"/>
  </si>
  <si>
    <t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t>
    <phoneticPr fontId="1" type="noConversion"/>
  </si>
  <si>
    <t>查核期間</t>
    <phoneticPr fontId="1" type="noConversion"/>
  </si>
  <si>
    <t>製表日：中華民國111年10月28日</t>
    <phoneticPr fontId="1" type="noConversion"/>
  </si>
  <si>
    <t>查核期間：111年1月1日~111年10月28日</t>
    <phoneticPr fontId="1" type="noConversion"/>
  </si>
  <si>
    <t>中華民國111年10月28日</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</si>
</sst>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name val="Calibri"/>
      <family val="2"/>
    </font>
    <font>
      <sz val="9"/>
      <name val="細明體"/>
      <family val="3"/>
      <charset val="136"/>
    </font>
    <font>
      <sz val="12"/>
      <name val="標楷體"/>
      <family val="4"/>
      <charset val="136"/>
    </font>
    <font>
      <b/>
      <sz val="12"/>
      <color rgb="FF000000"/>
      <name val="標楷體"/>
      <family val="4"/>
      <charset val="136"/>
    </font>
    <font>
      <b/>
      <sz val="11"/>
      <color rgb="FF000000"/>
      <name val="標楷體"/>
      <family val="4"/>
      <charset val="136"/>
    </font>
    <font>
      <sz val="12"/>
      <color rgb="FF000000"/>
      <name val="標楷體"/>
      <family val="4"/>
      <charset val="136"/>
    </font>
    <font>
      <sz val="10"/>
      <color rgb="FF000000"/>
      <name val="標楷體"/>
      <family val="4"/>
      <charset val="136"/>
    </font>
    <font>
      <sz val="14"/>
      <color theme="1"/>
      <name val="標楷體"/>
      <family val="4"/>
      <charset val="136"/>
    </font>
    <font>
      <sz val="9"/>
      <name val="新細明體"/>
      <family val="3"/>
      <charset val="136"/>
      <scheme val="minor"/>
    </font>
    <font>
      <sz val="12"/>
      <name val="Calibri"/>
      <family val="2"/>
    </font>
    <font>
      <sz val="72"/>
      <name val="標楷體"/>
      <family val="4"/>
      <charset val="136"/>
    </font>
    <font>
      <sz val="11"/>
      <name val="標楷體"/>
      <family val="4"/>
      <charset val="136"/>
    </font>
    <font>
      <sz val="11"/>
      <name val="細明體"/>
      <family val="3"/>
      <charset val="136"/>
    </font>
    <font>
      <sz val="11"/>
      <name val="細明體"/>
      <family val="2"/>
      <charset val="136"/>
    </font>
    <font>
      <sz val="11"/>
      <color theme="1"/>
      <name val="新細明體"/>
      <family val="2"/>
      <scheme val="minor"/>
    </font>
    <font>
      <sz val="12"/>
      <color theme="1"/>
      <name val="標楷體"/>
      <family val="4"/>
      <charset val="136"/>
    </font>
    <font>
      <b/>
      <sz val="14"/>
      <color theme="1"/>
      <name val="標楷體"/>
      <family val="4"/>
      <charset val="136"/>
    </font>
    <font>
      <b/>
      <sz val="14"/>
      <color rgb="FFFF0000"/>
      <name val="標楷體"/>
      <family val="4"/>
      <charset val="136"/>
    </font>
    <font>
      <sz val="11"/>
      <color theme="1"/>
      <name val="標楷體"/>
      <family val="4"/>
      <charset val="136"/>
    </font>
    <font>
      <sz val="14"/>
      <color theme="1"/>
      <name val="新細明體"/>
      <family val="2"/>
      <scheme val="minor"/>
    </font>
    <font>
      <b/>
      <sz val="12"/>
      <name val="標楷體"/>
      <family val="4"/>
      <charset val="136"/>
    </font>
    <font>
      <sz val="11"/>
      <color theme="1"/>
      <name val="Calibri"/>
      <family val="2"/>
    </font>
    <font>
      <sz val="11"/>
      <color theme="1"/>
      <name val="細明體"/>
      <family val="3"/>
      <charset val="136"/>
    </font>
    <font>
      <sz val="9"/>
      <color indexed="81"/>
      <name val="Tahoma"/>
      <family val="2"/>
    </font>
    <font>
      <b/>
      <sz val="14"/>
      <name val="新細明體"/>
      <family val="1"/>
      <charset val="136"/>
    </font>
    <font>
      <sz val="11"/>
      <name val="新細明體"/>
      <family val="1"/>
      <charset val="136"/>
    </font>
    <font>
      <b/>
      <sz val="14"/>
      <name val="細明體"/>
      <family val="3"/>
      <charset val="136"/>
    </font>
    <font>
      <b/>
      <sz val="14"/>
      <name val="Calibri"/>
      <family val="2"/>
    </font>
    <font>
      <b/>
      <sz val="14"/>
      <name val="細明體"/>
      <family val="2"/>
      <charset val="136"/>
    </font>
    <font>
      <b/>
      <sz val="14"/>
      <name val="新細明體"/>
      <family val="2"/>
      <charset val="136"/>
    </font>
    <font>
      <sz val="20"/>
      <name val="標楷體"/>
      <family val="4"/>
      <charset val="136"/>
    </font>
    <font>
      <sz val="11"/>
      <color rgb="FF000000"/>
      <name val="細明體"/>
      <family val="3"/>
      <charset val="136"/>
    </font>
    <font>
      <b/>
      <sz val="14"/>
      <name val="新細明體"/>
      <family val="1"/>
      <charset val="136"/>
      <scheme val="minor"/>
    </font>
    <font>
      <sz val="11"/>
      <name val="新細明體"/>
      <family val="1"/>
      <charset val="136"/>
      <scheme val="minor"/>
    </font>
    <font>
      <sz val="11"/>
      <color theme="1"/>
      <name val="新細明體"/>
      <family val="1"/>
      <charset val="136"/>
      <scheme val="minor"/>
    </font>
    <font>
      <b/>
      <sz val="9"/>
      <color indexed="81"/>
      <name val="Tahoma"/>
      <family val="2"/>
    </font>
    <font>
      <sz val="9"/>
      <color indexed="81"/>
      <name val="細明體"/>
      <family val="3"/>
      <charset val="136"/>
    </font>
    <font>
      <sz val="18"/>
      <name val="標楷體"/>
      <family val="4"/>
      <charset val="136"/>
    </font>
    <font>
      <b/>
      <sz val="20"/>
      <name val="標楷體"/>
      <family val="4"/>
      <charset val="136"/>
    </font>
    <font>
      <sz val="20"/>
      <name val="Calibri"/>
      <family val="2"/>
    </font>
    <font>
      <sz val="20"/>
      <color rgb="FF000000"/>
      <name val="標楷體"/>
      <family val="4"/>
      <charset val="136"/>
    </font>
  </fonts>
  <fills count="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0" tint="-0.14999847407452621"/>
        <bgColor theme="0" tint="-0.14999847407452621"/>
      </patternFill>
    </fill>
  </fills>
  <borders count="34">
    <border>
      <left/>
      <right/>
      <top/>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theme="1"/>
      </top>
      <bottom style="thin">
        <color theme="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2">
    <xf numFmtId="0" fontId="0" fillId="0" borderId="0"/>
    <xf numFmtId="0" fontId="14" fillId="0" borderId="0"/>
  </cellStyleXfs>
  <cellXfs count="126">
    <xf numFmtId="0" fontId="0" fillId="0" borderId="0" xfId="0" applyAlignment="1">
      <alignment horizontal="left"/>
    </xf>
    <xf numFmtId="0" fontId="2" fillId="0" borderId="0" xfId="0" applyFont="1" applyAlignment="1">
      <alignment horizontal="left" vertical="center"/>
    </xf>
    <xf numFmtId="0" fontId="4" fillId="2" borderId="1" xfId="0" applyFont="1" applyFill="1" applyBorder="1" applyAlignment="1">
      <alignment horizontal="center" vertical="center" wrapText="1"/>
    </xf>
    <xf numFmtId="0" fontId="9" fillId="0" borderId="1" xfId="0" applyFont="1" applyBorder="1" applyAlignment="1">
      <alignment horizontal="center" vertical="center"/>
    </xf>
    <xf numFmtId="0" fontId="13" fillId="0" borderId="0" xfId="0" applyFont="1" applyAlignment="1">
      <alignment horizontal="left"/>
    </xf>
    <xf numFmtId="0" fontId="12" fillId="0" borderId="0" xfId="0" applyFont="1" applyAlignment="1">
      <alignment horizontal="left"/>
    </xf>
    <xf numFmtId="0" fontId="7" fillId="0" borderId="0" xfId="1" applyFont="1"/>
    <xf numFmtId="0" fontId="0" fillId="0" borderId="0" xfId="0" applyAlignment="1">
      <alignment horizontal="left" wrapText="1"/>
    </xf>
    <xf numFmtId="0" fontId="15" fillId="0" borderId="0" xfId="1" applyFont="1" applyAlignment="1">
      <alignment vertical="center"/>
    </xf>
    <xf numFmtId="0" fontId="18" fillId="0" borderId="0" xfId="1" applyFont="1"/>
    <xf numFmtId="0" fontId="13"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wrapText="1"/>
    </xf>
    <xf numFmtId="0" fontId="3" fillId="0" borderId="9" xfId="0" applyFont="1" applyBorder="1" applyAlignment="1">
      <alignment horizontal="center" vertical="center" wrapText="1"/>
    </xf>
    <xf numFmtId="0" fontId="2" fillId="0" borderId="0" xfId="0" pivotButton="1" applyFont="1" applyAlignment="1">
      <alignment horizontal="left"/>
    </xf>
    <xf numFmtId="0" fontId="2" fillId="0" borderId="0" xfId="0" applyFont="1" applyAlignment="1">
      <alignment horizontal="left"/>
    </xf>
    <xf numFmtId="0" fontId="2" fillId="0" borderId="1" xfId="0" applyFont="1" applyBorder="1" applyAlignment="1">
      <alignment horizontal="left" wrapText="1"/>
    </xf>
    <xf numFmtId="0" fontId="2" fillId="0" borderId="1" xfId="0" applyFont="1" applyBorder="1" applyAlignment="1">
      <alignment horizontal="center" vertical="center" textRotation="255" wrapText="1"/>
    </xf>
    <xf numFmtId="0" fontId="20" fillId="0" borderId="1" xfId="0" applyFont="1" applyBorder="1" applyAlignment="1">
      <alignment horizontal="center" vertical="center" wrapText="1"/>
    </xf>
    <xf numFmtId="0" fontId="15" fillId="0" borderId="1" xfId="1" applyFont="1" applyBorder="1" applyAlignment="1">
      <alignment vertical="center"/>
    </xf>
    <xf numFmtId="0" fontId="5" fillId="2" borderId="1" xfId="0" applyFont="1" applyFill="1" applyBorder="1" applyAlignment="1">
      <alignment horizontal="justify" vertical="top" wrapText="1"/>
    </xf>
    <xf numFmtId="0" fontId="6" fillId="2" borderId="1" xfId="0" applyFont="1" applyFill="1" applyBorder="1" applyAlignment="1">
      <alignment horizontal="justify" vertical="top" wrapText="1"/>
    </xf>
    <xf numFmtId="0" fontId="4" fillId="2" borderId="1" xfId="0" applyFont="1" applyFill="1" applyBorder="1" applyAlignment="1">
      <alignment horizontal="justify" vertical="top" wrapText="1"/>
    </xf>
    <xf numFmtId="0" fontId="25" fillId="0" borderId="0" xfId="0" applyFont="1" applyAlignment="1">
      <alignment horizontal="left"/>
    </xf>
    <xf numFmtId="0" fontId="26" fillId="0" borderId="0" xfId="0" applyFont="1" applyAlignment="1">
      <alignment horizontal="left"/>
    </xf>
    <xf numFmtId="0" fontId="27" fillId="0" borderId="0" xfId="0" applyFont="1" applyAlignment="1">
      <alignment horizontal="left"/>
    </xf>
    <xf numFmtId="0" fontId="24" fillId="0" borderId="0" xfId="0" applyFont="1" applyAlignment="1">
      <alignment horizontal="left"/>
    </xf>
    <xf numFmtId="0" fontId="25" fillId="0" borderId="1" xfId="0" applyFont="1" applyBorder="1" applyAlignment="1">
      <alignment horizontal="left"/>
    </xf>
    <xf numFmtId="0" fontId="25" fillId="0" borderId="14" xfId="0" applyFont="1" applyBorder="1" applyAlignment="1">
      <alignment horizontal="left"/>
    </xf>
    <xf numFmtId="0" fontId="25" fillId="0" borderId="15" xfId="0" applyFont="1" applyBorder="1" applyAlignment="1">
      <alignment horizontal="left"/>
    </xf>
    <xf numFmtId="0" fontId="25" fillId="0" borderId="16" xfId="0" applyFont="1" applyBorder="1" applyAlignment="1">
      <alignment horizontal="left"/>
    </xf>
    <xf numFmtId="0" fontId="2" fillId="0" borderId="10" xfId="0" applyFont="1" applyBorder="1" applyAlignment="1">
      <alignment horizontal="left" wrapText="1"/>
    </xf>
    <xf numFmtId="0" fontId="2" fillId="0" borderId="17" xfId="0" applyFont="1" applyBorder="1" applyAlignment="1">
      <alignment horizontal="left" wrapText="1"/>
    </xf>
    <xf numFmtId="0" fontId="2" fillId="0" borderId="11"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25" fillId="0" borderId="18" xfId="0" applyFont="1" applyBorder="1" applyAlignment="1">
      <alignment horizontal="left"/>
    </xf>
    <xf numFmtId="0" fontId="25" fillId="0" borderId="19" xfId="0" applyFont="1" applyBorder="1" applyAlignment="1">
      <alignment horizontal="left"/>
    </xf>
    <xf numFmtId="0" fontId="25" fillId="0" borderId="20" xfId="0" applyFont="1" applyBorder="1" applyAlignment="1">
      <alignment horizontal="left"/>
    </xf>
    <xf numFmtId="0" fontId="25" fillId="0" borderId="22" xfId="0" applyFont="1" applyBorder="1" applyAlignment="1">
      <alignment horizontal="left"/>
    </xf>
    <xf numFmtId="0" fontId="25" fillId="0" borderId="21" xfId="0" applyFont="1" applyBorder="1" applyAlignment="1">
      <alignment horizontal="left" wrapText="1"/>
    </xf>
    <xf numFmtId="0" fontId="0" fillId="0" borderId="0" xfId="0" applyAlignment="1">
      <alignment horizontal="left" vertical="top" wrapText="1"/>
    </xf>
    <xf numFmtId="0" fontId="2" fillId="0" borderId="24" xfId="0" applyFont="1" applyBorder="1" applyAlignment="1">
      <alignment horizontal="left"/>
    </xf>
    <xf numFmtId="0" fontId="2" fillId="0" borderId="4" xfId="0" applyFont="1" applyBorder="1" applyAlignment="1">
      <alignment horizontal="left"/>
    </xf>
    <xf numFmtId="0" fontId="2" fillId="0" borderId="25" xfId="0" applyFont="1" applyBorder="1" applyAlignment="1">
      <alignment horizontal="left"/>
    </xf>
    <xf numFmtId="0" fontId="2" fillId="0" borderId="5" xfId="0" applyFont="1" applyBorder="1" applyAlignment="1">
      <alignment horizontal="left"/>
    </xf>
    <xf numFmtId="0" fontId="2" fillId="0" borderId="1" xfId="0" applyFont="1" applyBorder="1" applyAlignment="1">
      <alignment horizontal="left"/>
    </xf>
    <xf numFmtId="0" fontId="2" fillId="0" borderId="23" xfId="0" applyFont="1" applyBorder="1" applyAlignment="1">
      <alignment horizontal="left"/>
    </xf>
    <xf numFmtId="0" fontId="32" fillId="0" borderId="10" xfId="0" applyFont="1" applyBorder="1" applyAlignment="1">
      <alignment horizontal="left" wrapText="1"/>
    </xf>
    <xf numFmtId="0" fontId="32" fillId="0" borderId="0" xfId="0" applyFont="1" applyAlignment="1">
      <alignment horizontal="left" wrapText="1"/>
    </xf>
    <xf numFmtId="0" fontId="32" fillId="0" borderId="24" xfId="0" applyFont="1" applyBorder="1" applyAlignment="1">
      <alignment horizontal="center" wrapText="1"/>
    </xf>
    <xf numFmtId="0" fontId="33" fillId="0" borderId="0" xfId="0" applyFont="1" applyAlignment="1">
      <alignment horizontal="left" wrapText="1"/>
    </xf>
    <xf numFmtId="0" fontId="33" fillId="0" borderId="17" xfId="0" applyFont="1" applyBorder="1" applyAlignment="1">
      <alignment horizontal="left" wrapText="1"/>
    </xf>
    <xf numFmtId="0" fontId="33" fillId="0" borderId="0" xfId="0" applyFont="1" applyAlignment="1">
      <alignment horizontal="left" vertical="top" wrapText="1"/>
    </xf>
    <xf numFmtId="0" fontId="33" fillId="0" borderId="17" xfId="0" applyFont="1" applyBorder="1" applyAlignment="1">
      <alignment horizontal="left" vertical="top" wrapText="1"/>
    </xf>
    <xf numFmtId="49" fontId="2" fillId="0" borderId="0" xfId="0" applyNumberFormat="1" applyFont="1" applyAlignment="1">
      <alignment horizontal="left"/>
    </xf>
    <xf numFmtId="49" fontId="2" fillId="0" borderId="23" xfId="0" applyNumberFormat="1" applyFont="1" applyBorder="1" applyAlignment="1">
      <alignment horizontal="left"/>
    </xf>
    <xf numFmtId="49" fontId="2" fillId="0" borderId="1" xfId="0" applyNumberFormat="1" applyFont="1" applyBorder="1" applyAlignment="1">
      <alignment horizontal="left"/>
    </xf>
    <xf numFmtId="49" fontId="2" fillId="0" borderId="25" xfId="0" applyNumberFormat="1" applyFont="1" applyBorder="1" applyAlignment="1">
      <alignment horizontal="left"/>
    </xf>
    <xf numFmtId="0" fontId="34" fillId="4" borderId="30" xfId="0" applyFont="1" applyFill="1" applyBorder="1" applyAlignment="1">
      <alignment horizontal="left" vertical="top" wrapText="1"/>
    </xf>
    <xf numFmtId="0" fontId="30" fillId="0" borderId="0" xfId="0" applyFont="1" applyAlignment="1">
      <alignment horizontal="left" vertical="top" wrapText="1"/>
    </xf>
    <xf numFmtId="0" fontId="30" fillId="0" borderId="3" xfId="0" applyFont="1" applyBorder="1" applyAlignment="1">
      <alignment horizontal="left" vertical="top"/>
    </xf>
    <xf numFmtId="0" fontId="30" fillId="0" borderId="0" xfId="0" applyFont="1" applyAlignment="1">
      <alignment horizontal="left" vertical="top"/>
    </xf>
    <xf numFmtId="0" fontId="11" fillId="0" borderId="0" xfId="0" applyFont="1" applyAlignment="1">
      <alignment horizontal="left" vertical="top"/>
    </xf>
    <xf numFmtId="0" fontId="30" fillId="0" borderId="2" xfId="0" applyFont="1" applyBorder="1" applyAlignment="1">
      <alignment horizontal="left" vertical="top" wrapText="1"/>
    </xf>
    <xf numFmtId="0" fontId="30" fillId="0" borderId="5" xfId="0" applyFont="1" applyBorder="1" applyAlignment="1">
      <alignment horizontal="left" vertical="top"/>
    </xf>
    <xf numFmtId="0" fontId="30" fillId="0" borderId="6" xfId="0" applyFont="1" applyBorder="1" applyAlignment="1">
      <alignment horizontal="left" vertical="top" wrapText="1"/>
    </xf>
    <xf numFmtId="0" fontId="30" fillId="0" borderId="26" xfId="0" applyFont="1" applyBorder="1" applyAlignment="1">
      <alignment horizontal="left" vertical="top" wrapText="1"/>
    </xf>
    <xf numFmtId="0" fontId="30" fillId="0" borderId="7" xfId="0" applyFont="1" applyBorder="1" applyAlignment="1">
      <alignment horizontal="left" vertical="top" wrapText="1"/>
    </xf>
    <xf numFmtId="0" fontId="37" fillId="0" borderId="0" xfId="0" applyFont="1" applyAlignment="1">
      <alignment horizontal="left" vertical="top"/>
    </xf>
    <xf numFmtId="0" fontId="30" fillId="0" borderId="0" xfId="0" applyFont="1" applyAlignment="1">
      <alignment horizontal="right" vertical="top"/>
    </xf>
    <xf numFmtId="0" fontId="18" fillId="0" borderId="0" xfId="1" applyFont="1" applyAlignment="1">
      <alignment wrapText="1"/>
    </xf>
    <xf numFmtId="0" fontId="0" fillId="0" borderId="1" xfId="0" applyBorder="1" applyAlignment="1">
      <alignment horizontal="left"/>
    </xf>
    <xf numFmtId="0" fontId="39" fillId="0" borderId="8" xfId="0" applyFont="1" applyBorder="1" applyAlignment="1">
      <alignment horizontal="left" vertical="top" wrapText="1"/>
    </xf>
    <xf numFmtId="0" fontId="39" fillId="0" borderId="8" xfId="0" applyFont="1" applyBorder="1" applyAlignment="1">
      <alignment horizontal="left" vertical="top"/>
    </xf>
    <xf numFmtId="0" fontId="20" fillId="0" borderId="31" xfId="0" applyFont="1" applyBorder="1" applyAlignment="1">
      <alignment horizontal="center" vertical="center" wrapText="1"/>
    </xf>
    <xf numFmtId="0" fontId="18" fillId="0" borderId="1" xfId="1" applyFont="1" applyBorder="1" applyAlignment="1">
      <alignment wrapText="1"/>
    </xf>
    <xf numFmtId="0" fontId="18" fillId="0" borderId="1" xfId="1" applyFont="1" applyBorder="1"/>
    <xf numFmtId="0" fontId="25" fillId="0" borderId="32" xfId="0" applyFont="1" applyBorder="1" applyAlignment="1">
      <alignment horizontal="left"/>
    </xf>
    <xf numFmtId="0" fontId="25" fillId="0" borderId="9" xfId="0" applyFont="1" applyBorder="1" applyAlignment="1">
      <alignment horizontal="left"/>
    </xf>
    <xf numFmtId="0" fontId="25" fillId="0" borderId="33" xfId="0" applyFont="1" applyBorder="1" applyAlignment="1">
      <alignment horizontal="left"/>
    </xf>
    <xf numFmtId="0" fontId="2" fillId="0" borderId="1" xfId="0" applyFont="1" applyBorder="1" applyAlignment="1">
      <alignment horizontal="center" vertical="center" textRotation="255" wrapText="1"/>
    </xf>
    <xf numFmtId="0" fontId="2" fillId="0" borderId="4" xfId="0" applyFont="1" applyBorder="1" applyAlignment="1">
      <alignment horizontal="center"/>
    </xf>
    <xf numFmtId="0" fontId="2" fillId="0" borderId="25" xfId="0" applyFont="1" applyBorder="1" applyAlignment="1">
      <alignment horizontal="center"/>
    </xf>
    <xf numFmtId="0" fontId="2" fillId="0" borderId="5" xfId="0" applyFont="1" applyBorder="1" applyAlignment="1">
      <alignment horizontal="center"/>
    </xf>
    <xf numFmtId="0" fontId="20" fillId="0" borderId="4" xfId="0" applyFont="1" applyBorder="1" applyAlignment="1">
      <alignment horizontal="center"/>
    </xf>
    <xf numFmtId="0" fontId="20" fillId="0" borderId="25" xfId="0" applyFont="1" applyBorder="1" applyAlignment="1">
      <alignment horizontal="center"/>
    </xf>
    <xf numFmtId="0" fontId="20" fillId="0" borderId="5" xfId="0" applyFont="1" applyBorder="1" applyAlignment="1">
      <alignment horizontal="center"/>
    </xf>
    <xf numFmtId="0" fontId="2" fillId="0" borderId="6" xfId="0" applyFont="1" applyBorder="1" applyAlignment="1">
      <alignment horizontal="left" vertical="top" wrapText="1"/>
    </xf>
    <xf numFmtId="0" fontId="2" fillId="0" borderId="26" xfId="0" applyFont="1" applyBorder="1" applyAlignment="1">
      <alignment horizontal="left" vertical="top" wrapText="1"/>
    </xf>
    <xf numFmtId="0" fontId="2" fillId="0" borderId="7" xfId="0" applyFont="1" applyBorder="1" applyAlignment="1">
      <alignment horizontal="left" vertical="top" wrapText="1"/>
    </xf>
    <xf numFmtId="0" fontId="2" fillId="0" borderId="3" xfId="0" applyFont="1" applyBorder="1" applyAlignment="1">
      <alignment horizontal="left" vertical="top" wrapText="1"/>
    </xf>
    <xf numFmtId="0" fontId="2" fillId="0" borderId="0" xfId="0" applyFont="1" applyAlignment="1">
      <alignment horizontal="left" vertical="top" wrapText="1"/>
    </xf>
    <xf numFmtId="0" fontId="2" fillId="0" borderId="8" xfId="0" applyFont="1" applyBorder="1" applyAlignment="1">
      <alignment horizontal="left" vertical="top" wrapText="1"/>
    </xf>
    <xf numFmtId="0" fontId="2" fillId="0" borderId="27" xfId="0" applyFont="1" applyBorder="1" applyAlignment="1">
      <alignment horizontal="left" vertical="top" wrapText="1"/>
    </xf>
    <xf numFmtId="0" fontId="2" fillId="0" borderId="28" xfId="0" applyFont="1" applyBorder="1" applyAlignment="1">
      <alignment horizontal="left" vertical="top" wrapText="1"/>
    </xf>
    <xf numFmtId="0" fontId="2" fillId="0" borderId="29" xfId="0" applyFont="1" applyBorder="1" applyAlignment="1">
      <alignment horizontal="left" vertical="top" wrapText="1"/>
    </xf>
    <xf numFmtId="0" fontId="2" fillId="0" borderId="31" xfId="0" applyFont="1" applyBorder="1" applyAlignment="1">
      <alignment horizontal="center" vertical="center" textRotation="255" wrapText="1"/>
    </xf>
    <xf numFmtId="0" fontId="7" fillId="0" borderId="0" xfId="1" applyFont="1" applyAlignment="1">
      <alignment vertical="center" wrapText="1"/>
    </xf>
    <xf numFmtId="0" fontId="7" fillId="0" borderId="0" xfId="1" applyFont="1" applyAlignment="1">
      <alignment vertical="center"/>
    </xf>
    <xf numFmtId="0" fontId="16" fillId="3" borderId="1" xfId="0" applyFont="1" applyFill="1" applyBorder="1" applyAlignment="1">
      <alignment horizontal="center" vertical="center"/>
    </xf>
    <xf numFmtId="0" fontId="19" fillId="3" borderId="9" xfId="0" applyFont="1" applyFill="1" applyBorder="1" applyAlignment="1">
      <alignment horizontal="center" vertical="center"/>
    </xf>
    <xf numFmtId="0" fontId="3" fillId="2" borderId="1"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30" fillId="0" borderId="27" xfId="0" applyFont="1" applyBorder="1" applyAlignment="1">
      <alignment horizontal="left" vertical="top" wrapText="1"/>
    </xf>
    <xf numFmtId="0" fontId="30" fillId="0" borderId="28" xfId="0" applyFont="1" applyBorder="1" applyAlignment="1">
      <alignment horizontal="left" vertical="top" wrapText="1"/>
    </xf>
    <xf numFmtId="0" fontId="30" fillId="0" borderId="29" xfId="0" applyFont="1" applyBorder="1" applyAlignment="1">
      <alignment horizontal="left" vertical="top" wrapText="1"/>
    </xf>
    <xf numFmtId="0" fontId="40" fillId="0" borderId="0" xfId="0" applyFont="1" applyAlignment="1">
      <alignment horizontal="left" vertical="top"/>
    </xf>
    <xf numFmtId="0" fontId="30" fillId="0" borderId="2" xfId="0" applyFont="1" applyBorder="1" applyAlignment="1">
      <alignment horizontal="left" vertical="top" wrapText="1"/>
    </xf>
    <xf numFmtId="0" fontId="30" fillId="0" borderId="0" xfId="0" applyFont="1" applyAlignment="1">
      <alignment horizontal="left" vertical="top" wrapText="1"/>
    </xf>
    <xf numFmtId="0" fontId="38" fillId="0" borderId="6" xfId="0" applyFont="1" applyBorder="1" applyAlignment="1">
      <alignment horizontal="left" vertical="top" wrapText="1"/>
    </xf>
    <xf numFmtId="0" fontId="38" fillId="0" borderId="26" xfId="0" applyFont="1" applyBorder="1" applyAlignment="1">
      <alignment horizontal="left" vertical="top" wrapText="1"/>
    </xf>
    <xf numFmtId="0" fontId="38" fillId="0" borderId="7" xfId="0" applyFont="1" applyBorder="1" applyAlignment="1">
      <alignment horizontal="left" vertical="top" wrapText="1"/>
    </xf>
    <xf numFmtId="0" fontId="38" fillId="0" borderId="3" xfId="0" applyFont="1" applyBorder="1" applyAlignment="1">
      <alignment horizontal="left" vertical="top" wrapText="1"/>
    </xf>
    <xf numFmtId="0" fontId="38" fillId="0" borderId="0" xfId="0" applyFont="1" applyAlignment="1">
      <alignment horizontal="left" vertical="top" wrapText="1"/>
    </xf>
    <xf numFmtId="0" fontId="38" fillId="0" borderId="8" xfId="0" applyFont="1" applyBorder="1" applyAlignment="1">
      <alignment horizontal="left" vertical="top" wrapText="1"/>
    </xf>
    <xf numFmtId="0" fontId="38" fillId="0" borderId="4" xfId="0" applyFont="1" applyBorder="1" applyAlignment="1">
      <alignment horizontal="left" vertical="top" wrapText="1"/>
    </xf>
    <xf numFmtId="0" fontId="38" fillId="0" borderId="25" xfId="0" applyFont="1" applyBorder="1" applyAlignment="1">
      <alignment horizontal="left" vertical="top" wrapText="1"/>
    </xf>
    <xf numFmtId="0" fontId="30" fillId="0" borderId="3" xfId="0" applyFont="1" applyBorder="1" applyAlignment="1">
      <alignment horizontal="left" vertical="top" wrapText="1"/>
    </xf>
    <xf numFmtId="0" fontId="30" fillId="0" borderId="8" xfId="0" applyFont="1" applyBorder="1" applyAlignment="1">
      <alignment horizontal="left" vertical="top" wrapText="1"/>
    </xf>
    <xf numFmtId="0" fontId="30" fillId="0" borderId="3" xfId="0" applyFont="1" applyBorder="1" applyAlignment="1">
      <alignment horizontal="left" vertical="top"/>
    </xf>
    <xf numFmtId="0" fontId="30" fillId="0" borderId="0" xfId="0" applyFont="1" applyAlignment="1">
      <alignment horizontal="left" vertical="top"/>
    </xf>
    <xf numFmtId="0" fontId="30" fillId="0" borderId="8" xfId="0" applyFont="1" applyBorder="1" applyAlignment="1">
      <alignment horizontal="left" vertical="top"/>
    </xf>
    <xf numFmtId="0" fontId="10" fillId="0" borderId="0" xfId="0" applyFont="1" applyAlignment="1">
      <alignment horizontal="center"/>
    </xf>
    <xf numFmtId="0" fontId="10" fillId="0" borderId="0" xfId="0" applyFont="1" applyAlignment="1">
      <alignment horizontal="center" vertical="top"/>
    </xf>
    <xf numFmtId="0" fontId="30" fillId="0" borderId="0" xfId="0" applyFont="1" applyAlignment="1">
      <alignment horizontal="right" vertical="top"/>
    </xf>
  </cellXfs>
  <cellStyles count="2">
    <cellStyle name="一般" xfId="0" builtinId="0"/>
    <cellStyle name="一般 2" xfId="1" xr:uid="{A0D876ED-3420-4468-84A3-4EE09B288729}"/>
  </cellStyles>
  <dxfs count="32">
    <dxf>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sz val="12"/>
      </font>
    </dxf>
    <dxf>
      <font>
        <sz val="12"/>
      </font>
    </dxf>
    <dxf>
      <font>
        <sz val="12"/>
      </font>
    </dxf>
    <dxf>
      <font>
        <sz val="12"/>
      </font>
    </dxf>
    <dxf>
      <font>
        <sz val="12"/>
      </font>
    </dxf>
    <dxf>
      <font>
        <name val="標楷體"/>
        <family val="4"/>
        <charset val="136"/>
      </font>
    </dxf>
    <dxf>
      <font>
        <name val="標楷體"/>
        <family val="4"/>
        <charset val="136"/>
      </font>
    </dxf>
    <dxf>
      <font>
        <name val="標楷體"/>
        <family val="4"/>
        <charset val="136"/>
      </font>
    </dxf>
    <dxf>
      <font>
        <name val="標楷體"/>
        <family val="4"/>
        <charset val="136"/>
      </font>
    </dxf>
    <dxf>
      <font>
        <name val="標楷體"/>
        <family val="4"/>
        <charset val="136"/>
      </font>
    </dxf>
    <dxf>
      <font>
        <b val="0"/>
        <i val="0"/>
        <strike val="0"/>
        <condense val="0"/>
        <extend val="0"/>
        <outline val="0"/>
        <shadow val="0"/>
        <u val="none"/>
        <vertAlign val="baseline"/>
        <sz val="11"/>
        <color auto="1"/>
        <name val="細明體"/>
        <family val="3"/>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312420</xdr:colOff>
          <xdr:row>3</xdr:row>
          <xdr:rowOff>38100</xdr:rowOff>
        </xdr:from>
        <xdr:to>
          <xdr:col>6</xdr:col>
          <xdr:colOff>2004060</xdr:colOff>
          <xdr:row>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執行巨集</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cob_wang" id="{18990302-9DA9-49FE-9409-F66EED6726CD}" userId="S::jacob_wang@pxpayplus.com::1a77e855-de72-481c-b084-c93220d04428"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ob" refreshedDate="44861.423238310184" backgroundQuery="1" createdVersion="8" refreshedVersion="8" minRefreshableVersion="3" recordCount="0" supportSubquery="1" supportAdvancedDrill="1" xr:uid="{53DF8916-352F-4B07-A99B-14F851A2B04F}">
  <cacheSource type="external" connectionId="2"/>
  <cacheFields count="2">
    <cacheField name="[查核作業].[查核作業].[查核作業]" caption="查核作業" numFmtId="0" hierarchy="1" level="1">
      <sharedItems count="4">
        <s v="一、使用者徵審管理作業"/>
        <s v="二、通路商業務洽談與評估作業"/>
        <s v="三、通路商付款及入帳作業"/>
        <s v="四、 委外管理作業管理"/>
      </sharedItems>
    </cacheField>
    <cacheField name="[查核作業].[查核項目].[查核項目]" caption="查核項目" numFmtId="0" hierarchy="2" level="1">
      <sharedItems count="18">
        <s v="本公司受理線上使用者申請時，是否依其留存身分資料於確認後提供對應之電子支付帳戶，且各類型帳戶收付額度以定額為限。"/>
        <s v="本公司線上申請之使用者欲調整交易額度是否符合相關規定。"/>
        <s v="使用者之資料是否存入全支付後台管理系統，且使用者收款額度或額度調整等事項是否保留紀錄。"/>
        <s v="若使用者之收款額度如有逾越一般管理額度時，是否經過權責主管核准後並保留相關紀錄。"/>
        <s v="本公司通路商業務模式及資料是否有列表控管。"/>
        <s v="是否定期評估通路商效益，且評估後若有未符合預期者是否提出改善方式。"/>
        <s v="是否適時審視各類通路商費率等條件以保障本公司權益。"/>
        <s v="業務部提供業務合作分析之內容是否符合公司營運方向。"/>
        <s v="與通路商合約簽定前是否有充分與相關單位溝通。"/>
        <s v="若有應收帳款因退貨或折讓，是否由業務部開立「應收帳款異動通知申請單」及「客戶退貨申請單」後交由財務部進行帳務處理。"/>
        <s v="通路商提供之相關憑證內容是否與合約內容相符。"/>
        <s v="給付通路商之金額成本認列是否符合相關法規要求。"/>
        <s v="業務部是否提供客戶付款明細供財務部作為沖帳收款之依據。"/>
        <s v="與通路商對帳之資訊是否與實際入帳金額一致。"/>
        <s v="本公司代收以新臺幣繳納儲值款項作業委外之管理，是否符合相關規範辦理。"/>
        <s v="本公司收付訊息處理作業委外之管理，是否符合相關規範辦理。"/>
        <s v="有關資訊作業委外相關事項是否依據本公司「第三方服務資訊安全管理辦法」之要求據以執行。"/>
        <s v="承上，業務部是否針對該委外業務至少每半年對受託機構辦理相關檢核作業。"/>
      </sharedItems>
    </cacheField>
  </cacheFields>
  <cacheHierarchies count="7">
    <cacheHierarchy uniqueName="[作業清單].[作業清單]" caption="作業清單" attribute="1" defaultMemberUniqueName="[作業清單].[作業清單].[All]" allUniqueName="[作業清單].[作業清單].[All]" dimensionUniqueName="[作業清單]" displayFolder="" count="0" memberValueDatatype="130" unbalanced="0"/>
    <cacheHierarchy uniqueName="[查核作業].[查核作業]" caption="查核作業" attribute="1" defaultMemberUniqueName="[查核作業].[查核作業].[All]" allUniqueName="[查核作業].[查核作業].[All]" dimensionUniqueName="[查核作業]" displayFolder="" count="2" memberValueDatatype="130" unbalanced="0">
      <fieldsUsage count="2">
        <fieldUsage x="-1"/>
        <fieldUsage x="0"/>
      </fieldsUsage>
    </cacheHierarchy>
    <cacheHierarchy uniqueName="[查核作業].[查核項目]" caption="查核項目" attribute="1" defaultMemberUniqueName="[查核作業].[查核項目].[All]" allUniqueName="[查核作業].[查核項目].[All]" dimensionUniqueName="[查核作業]" displayFolder="" count="2" memberValueDatatype="130" unbalanced="0">
      <fieldsUsage count="2">
        <fieldUsage x="-1"/>
        <fieldUsage x="1"/>
      </fieldsUsage>
    </cacheHierarchy>
    <cacheHierarchy uniqueName="[查核作業].[實際執行事項說明]" caption="實際執行事項說明" attribute="1" defaultMemberUniqueName="[查核作業].[實際執行事項說明].[All]" allUniqueName="[查核作業].[實際執行事項說明].[All]" dimensionUniqueName="[查核作業]" displayFolder="" count="0" memberValueDatatype="130" unbalanced="0"/>
    <cacheHierarchy uniqueName="[Measures].[__XL_Count 作業清單]" caption="__XL_Count 作業清單" measure="1" displayFolder="" measureGroup="作業清單" count="0" hidden="1"/>
    <cacheHierarchy uniqueName="[Measures].[__XL_Count 查核作業]" caption="__XL_Count 查核作業" measure="1" displayFolder="" measureGroup="查核作業" count="0" hidden="1"/>
    <cacheHierarchy uniqueName="[Measures].[__No measures defined]" caption="__No measures defined" measure="1" displayFolder="" count="0" hidden="1"/>
  </cacheHierarchies>
  <kpis count="0"/>
  <dimensions count="3">
    <dimension measure="1" name="Measures" uniqueName="[Measures]" caption="Measures"/>
    <dimension name="作業清單" uniqueName="[作業清單]" caption="作業清單"/>
    <dimension name="查核作業" uniqueName="[查核作業]" caption="查核作業"/>
  </dimensions>
  <measureGroups count="2">
    <measureGroup name="作業清單" caption="作業清單"/>
    <measureGroup name="查核作業" caption="查核作業"/>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1F33AD-1EAE-434B-A6CC-BBA247BDD3C7}" name="樞紐分析表4" cacheId="1" applyNumberFormats="0" applyBorderFormats="0" applyFontFormats="0" applyPatternFormats="0" applyAlignmentFormats="0" applyWidthHeightFormats="1" dataCaption="值" updatedVersion="8" minRefreshableVersion="3" showDrill="0" useAutoFormatting="1" rowGrandTotals="0" colGrandTotals="0" itemPrintTitles="1" createdVersion="8" indent="0" compact="0" outline="1" outlineData="1" compactData="0" multipleFieldFilters="0">
  <location ref="A1:B23" firstHeaderRow="1" firstDataRow="1" firstDataCol="2"/>
  <pivotFields count="2">
    <pivotField axis="axisRow" compact="0" allDrilled="1" showAll="0" sortType="ascending" defaultSubtotal="0" defaultAttributeDrillState="1">
      <items count="4">
        <item x="0"/>
        <item x="1"/>
        <item x="2"/>
        <item x="3"/>
      </items>
    </pivotField>
    <pivotField axis="axisRow" compact="0" allDrilled="1" showAll="0" dataSourceSort="1" defaultSubtotal="0" defaultAttributeDrillState="1">
      <items count="18">
        <item x="0"/>
        <item x="1"/>
        <item x="2"/>
        <item x="3"/>
        <item x="4"/>
        <item x="5"/>
        <item x="6"/>
        <item x="7"/>
        <item x="8"/>
        <item x="9"/>
        <item x="10"/>
        <item x="11"/>
        <item x="12"/>
        <item x="13"/>
        <item x="14"/>
        <item x="15"/>
        <item x="16"/>
        <item x="17"/>
      </items>
    </pivotField>
  </pivotFields>
  <rowFields count="2">
    <field x="0"/>
    <field x="1"/>
  </rowFields>
  <rowItems count="22">
    <i>
      <x/>
    </i>
    <i r="1">
      <x/>
    </i>
    <i r="1">
      <x v="1"/>
    </i>
    <i r="1">
      <x v="2"/>
    </i>
    <i r="1">
      <x v="3"/>
    </i>
    <i>
      <x v="1"/>
    </i>
    <i r="1">
      <x v="4"/>
    </i>
    <i r="1">
      <x v="5"/>
    </i>
    <i r="1">
      <x v="6"/>
    </i>
    <i r="1">
      <x v="7"/>
    </i>
    <i r="1">
      <x v="8"/>
    </i>
    <i>
      <x v="2"/>
    </i>
    <i r="1">
      <x v="9"/>
    </i>
    <i r="1">
      <x v="10"/>
    </i>
    <i r="1">
      <x v="11"/>
    </i>
    <i r="1">
      <x v="12"/>
    </i>
    <i r="1">
      <x v="13"/>
    </i>
    <i>
      <x v="3"/>
    </i>
    <i r="1">
      <x v="14"/>
    </i>
    <i r="1">
      <x v="15"/>
    </i>
    <i r="1">
      <x v="16"/>
    </i>
    <i r="1">
      <x v="17"/>
    </i>
  </rowItems>
  <formats count="10">
    <format dxfId="26">
      <pivotArea type="all" dataOnly="0" outline="0" fieldPosition="0"/>
    </format>
    <format dxfId="25">
      <pivotArea field="0" type="button" dataOnly="0" labelOnly="1" outline="0" axis="axisRow" fieldPosition="0"/>
    </format>
    <format dxfId="24">
      <pivotArea field="1" type="button" dataOnly="0" labelOnly="1" outline="0" axis="axisRow" fieldPosition="1"/>
    </format>
    <format dxfId="23">
      <pivotArea dataOnly="0" labelOnly="1" outline="0" fieldPosition="0">
        <references count="1">
          <reference field="0" count="0"/>
        </references>
      </pivotArea>
    </format>
    <format dxfId="22">
      <pivotArea dataOnly="0" labelOnly="1" outline="0" fieldPosition="0">
        <references count="2">
          <reference field="0" count="0" selected="0"/>
          <reference field="1" count="0"/>
        </references>
      </pivotArea>
    </format>
    <format dxfId="21">
      <pivotArea type="all" dataOnly="0" outline="0" fieldPosition="0"/>
    </format>
    <format dxfId="20">
      <pivotArea field="0" type="button" dataOnly="0" labelOnly="1" outline="0" axis="axisRow" fieldPosition="0"/>
    </format>
    <format dxfId="19">
      <pivotArea field="1" type="button" dataOnly="0" labelOnly="1" outline="0" axis="axisRow" fieldPosition="1"/>
    </format>
    <format dxfId="18">
      <pivotArea dataOnly="0" labelOnly="1" outline="0" fieldPosition="0">
        <references count="1">
          <reference field="0" count="0"/>
        </references>
      </pivotArea>
    </format>
    <format dxfId="17">
      <pivotArea dataOnly="0" labelOnly="1" outline="0" fieldPosition="0">
        <references count="2">
          <reference field="0" count="0" selected="0"/>
          <reference field="1" count="0"/>
        </references>
      </pivotArea>
    </format>
  </formats>
  <pivotHierarchies count="7">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查詢 - 查核作業">
        <x15:activeTabTopLevelEntity name="[查核作業]"/>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1" connectionId="3" xr16:uid="{F715B71D-4ED0-4437-B802-DAFC0A67BF9E}" autoFormatId="16" applyNumberFormats="0" applyBorderFormats="0" applyFontFormats="0" applyPatternFormats="0" applyAlignmentFormats="0" applyWidthHeightFormats="0">
  <queryTableRefresh nextId="12">
    <queryTableFields count="4">
      <queryTableField id="6" name="整理前查核循環" tableColumnId="4"/>
      <queryTableField id="3" name="內部控制制度" tableColumnId="3"/>
      <queryTableField id="1" name="外部法規" tableColumnId="1"/>
      <queryTableField id="2" name="查核循環"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2" backgroundRefresh="0" connectionId="1" xr16:uid="{014AFEC0-85D3-48AE-A9AB-6A5607E64A37}" autoFormatId="16" applyNumberFormats="0" applyBorderFormats="0" applyFontFormats="0" applyPatternFormats="0" applyAlignmentFormats="0" applyWidthHeightFormats="0">
  <queryTableRefresh nextId="2">
    <queryTableFields count="1">
      <queryTableField id="1" name="作業清單" tableColumnId="1"/>
    </queryTableFields>
  </queryTableRefresh>
  <extLst>
    <ext xmlns:x15="http://schemas.microsoft.com/office/spreadsheetml/2010/11/main" uri="{883FBD77-0823-4a55-B5E3-86C4891E6966}">
      <x15:queryTable sourceDataName="查詢 - 作業清單"/>
    </ext>
  </extLst>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22B7F4-E0AF-427C-B734-6BE5EFA15B70}" name="表格2" displayName="表格2" ref="C14:E33" totalsRowShown="0" headerRowDxfId="31">
  <autoFilter ref="C14:E33" xr:uid="{3922B7F4-E0AF-427C-B734-6BE5EFA15B70}"/>
  <tableColumns count="3">
    <tableColumn id="1" xr3:uid="{042EFD47-16F7-40E8-9BD4-3B6502E9CBB2}" name="查核作業"/>
    <tableColumn id="2" xr3:uid="{E32D77D7-7C92-401E-ADA9-9C0C480362B1}" name="查核項目" dataDxfId="30"/>
    <tableColumn id="3" xr3:uid="{91C250F7-1402-4403-AF13-A096D91F9E0E}" name="實際執行事項說明" dataDxfId="2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9E37F2-7060-4171-9C82-EB3C59F05A4D}" name="表格3" displayName="表格3" ref="G14:I22" totalsRowShown="0" headerRowDxfId="28">
  <autoFilter ref="G14:I22" xr:uid="{329E37F2-7060-4171-9C82-EB3C59F05A4D}"/>
  <tableColumns count="3">
    <tableColumn id="1" xr3:uid="{833D28F1-283B-4201-B563-083D83F1D653}" name="內部控制制度" dataDxfId="27"/>
    <tableColumn id="2" xr3:uid="{869514D2-55BA-42A9-8453-5C8C743A53FE}" name="外部法規"/>
    <tableColumn id="3" xr3:uid="{36999E1E-5DBA-4A03-88B3-92D940456E40}" name="查核循環"/>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2E0B5F-1AC0-418F-9071-E86C1FC47974}" name="引用法規" displayName="引用法規" ref="F4:I12" tableType="queryTable" totalsRowShown="0" headerRowDxfId="16" dataDxfId="15">
  <autoFilter ref="F4:I12" xr:uid="{572E0B5F-1AC0-418F-9071-E86C1FC47974}"/>
  <tableColumns count="4">
    <tableColumn id="4" xr3:uid="{78A544A1-6082-434E-8254-847F0BA807DD}" uniqueName="4" name="整理前查核循環" queryTableFieldId="6" dataDxfId="14"/>
    <tableColumn id="3" xr3:uid="{70B23B4C-ED83-4A60-9CAD-4FF22670F73E}" uniqueName="3" name="內部控制制度" queryTableFieldId="3" dataDxfId="13"/>
    <tableColumn id="1" xr3:uid="{9F435581-4473-4DC3-805B-4336552BA974}" uniqueName="1" name="外部法規" queryTableFieldId="1" dataDxfId="12"/>
    <tableColumn id="2" xr3:uid="{2A4C5A88-593E-4AC1-B695-E3684A84CE2E}" uniqueName="2" name="查核循環" queryTableFieldId="2" dataDxfId="1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02DC08-037F-4488-B9A9-5933D0991475}" name="作業清單" displayName="作業清單" ref="K4:K8" tableType="queryTable" totalsRowShown="0" headerRowDxfId="10" dataDxfId="9">
  <autoFilter ref="K4:K8" xr:uid="{AC02DC08-037F-4488-B9A9-5933D0991475}"/>
  <tableColumns count="1">
    <tableColumn id="1" xr3:uid="{8489CE2B-9D23-450B-96C6-E1C223EA739B}" uniqueName="1" name="作業清單" queryTableFieldId="1" dataDxfId="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224517-C8DC-423D-8C10-56CD86D326A4}" name="表格9" displayName="表格9" ref="A2:F9" totalsRowShown="0" headerRowDxfId="7" dataDxfId="6">
  <autoFilter ref="A2:F9" xr:uid="{FC224517-C8DC-423D-8C10-56CD86D326A4}"/>
  <sortState xmlns:xlrd2="http://schemas.microsoft.com/office/spreadsheetml/2017/richdata2" ref="A3:F9">
    <sortCondition ref="B2:B9"/>
  </sortState>
  <tableColumns count="6">
    <tableColumn id="1" xr3:uid="{BDFB6A49-B9A8-41AE-889B-03419D217763}" name="查核作業" dataDxfId="5"/>
    <tableColumn id="6" xr3:uid="{8F5C8316-F680-4F27-BBDD-D517258C845F}" name="順序" dataDxfId="4"/>
    <tableColumn id="2" xr3:uid="{2A72019B-F2E9-4FC9-A3B1-6A6C7C694A5E}" name="查核項目" dataDxfId="3">
      <calculatedColumnFormula>工作底稿!B5</calculatedColumnFormula>
    </tableColumn>
    <tableColumn id="3" xr3:uid="{8336B2D8-F00C-41AE-81E0-796A935CDCBC}" name="查核內容" dataDxfId="2">
      <calculatedColumnFormula>工作底稿!F5</calculatedColumnFormula>
    </tableColumn>
    <tableColumn id="4" xr3:uid="{DAFB0FF4-9EB4-4320-8B23-584E708E2B8A}" name="報告內容" dataDxfId="1"/>
    <tableColumn id="5" xr3:uid="{65563071-2DB7-47A7-A61D-39C0162AA56D}" name="依輸出內容" dataDxfId="0">
      <calculatedColumnFormula>IF(LEN(表格9[[#This Row],[報告內容]])&gt;0,Temporary!T5&amp;Temporary!S5&amp;Temporary!Q5&amp;表格9[[#This Row],[報告內容]],"")</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2-10-14T06:24:11.44" personId="{18990302-9DA9-49FE-9409-F66EED6726CD}" id="{A6A5DA66-EF20-45E9-89C9-44FA0180F6F4}">
    <text>IF(LEN(Variable!B14&amp;Variable!C14)&gt;4,Variable!B14&amp;Variable!C14,"")</text>
  </threadedComment>
  <threadedComment ref="F2" dT="2022-10-14T06:48:28.89" personId="{18990302-9DA9-49FE-9409-F66EED6726CD}" id="{A8220C3C-A516-487D-AC12-492DDF2C475E}">
    <text>IF(LEN([@報告內容])&gt;0,Temporary!S5&amp;Temporary!Q5&amp;[@報告內容],"")</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B40A3-DF6A-4320-B722-DB756458FFAE}">
  <sheetPr codeName="工作表2">
    <tabColor rgb="FFFFFF00"/>
  </sheetPr>
  <dimension ref="B1:I134"/>
  <sheetViews>
    <sheetView topLeftCell="A16" workbookViewId="0">
      <selection activeCell="D17" sqref="D17:D20"/>
    </sheetView>
  </sheetViews>
  <sheetFormatPr defaultRowHeight="21.6" customHeight="1" x14ac:dyDescent="0.3"/>
  <cols>
    <col min="1" max="1" width="20.33203125" customWidth="1"/>
    <col min="2" max="2" width="20.33203125" hidden="1" customWidth="1"/>
    <col min="3" max="3" width="26.21875" customWidth="1"/>
    <col min="4" max="4" width="27.109375" bestFit="1" customWidth="1"/>
    <col min="5" max="5" width="44.109375" bestFit="1" customWidth="1"/>
    <col min="6" max="6" width="6.88671875" customWidth="1"/>
    <col min="7" max="7" width="41.33203125" customWidth="1"/>
    <col min="8" max="8" width="48.77734375" customWidth="1"/>
    <col min="9" max="9" width="18.44140625" customWidth="1"/>
  </cols>
  <sheetData>
    <row r="1" spans="2:9" ht="54" customHeight="1" x14ac:dyDescent="0.3"/>
    <row r="2" spans="2:9" ht="21.6" customHeight="1" x14ac:dyDescent="0.4">
      <c r="C2" s="26" t="s">
        <v>49</v>
      </c>
      <c r="G2" s="25" t="s">
        <v>55</v>
      </c>
    </row>
    <row r="3" spans="2:9" ht="21.6" customHeight="1" thickBot="1" x14ac:dyDescent="0.35">
      <c r="C3" s="23" t="s">
        <v>50</v>
      </c>
      <c r="G3" s="23" t="s">
        <v>25</v>
      </c>
    </row>
    <row r="4" spans="2:9" ht="21.6" customHeight="1" x14ac:dyDescent="0.3">
      <c r="C4" s="36" t="s">
        <v>10</v>
      </c>
      <c r="D4" s="37" t="s">
        <v>13</v>
      </c>
      <c r="E4" s="28" t="s">
        <v>14</v>
      </c>
    </row>
    <row r="5" spans="2:9" ht="21.6" customHeight="1" x14ac:dyDescent="0.3">
      <c r="C5" s="38" t="s">
        <v>11</v>
      </c>
      <c r="D5" s="27" t="s">
        <v>72</v>
      </c>
      <c r="E5" s="29"/>
    </row>
    <row r="6" spans="2:9" ht="21.6" customHeight="1" x14ac:dyDescent="0.3">
      <c r="C6" s="38" t="s">
        <v>18</v>
      </c>
      <c r="D6" s="27" t="str">
        <f>C6&amp;"："&amp;"111年1月1日~" &amp;RIGHT(D5,10)</f>
        <v>查核範圍期間：111年1月1日~111年08月31日</v>
      </c>
      <c r="E6" s="29"/>
    </row>
    <row r="7" spans="2:9" ht="21.6" customHeight="1" x14ac:dyDescent="0.3">
      <c r="C7" s="38" t="s">
        <v>12</v>
      </c>
      <c r="D7" s="27" t="str">
        <f ca="1">"中華民國"&amp;YEAR(TODAY())-1911&amp;"年" &amp; MONTH(TODAY()) &amp; "月" &amp; DAY(TODAY()) &amp; "日"</f>
        <v>中華民國111年10月28日</v>
      </c>
      <c r="E7" s="29"/>
    </row>
    <row r="8" spans="2:9" ht="21.6" customHeight="1" x14ac:dyDescent="0.3">
      <c r="C8" s="38" t="s">
        <v>15</v>
      </c>
      <c r="D8" s="27" t="s">
        <v>156</v>
      </c>
      <c r="E8" s="29"/>
    </row>
    <row r="9" spans="2:9" ht="21.6" customHeight="1" x14ac:dyDescent="0.3">
      <c r="C9" s="78" t="s">
        <v>175</v>
      </c>
      <c r="D9" s="79" t="str">
        <f ca="1">C9&amp;"："&amp;"111年1月1日~" &amp;RIGHT(D7,10)</f>
        <v>查核期間：111年1月1日~111年10月28日</v>
      </c>
      <c r="E9" s="80"/>
    </row>
    <row r="10" spans="2:9" ht="34.200000000000003" customHeight="1" thickBot="1" x14ac:dyDescent="0.35">
      <c r="C10" s="40" t="s">
        <v>78</v>
      </c>
      <c r="D10" s="39" t="b">
        <v>1</v>
      </c>
      <c r="E10" s="30"/>
    </row>
    <row r="11" spans="2:9" ht="63.6" customHeight="1" x14ac:dyDescent="0.3"/>
    <row r="12" spans="2:9" ht="21.6" customHeight="1" x14ac:dyDescent="0.4">
      <c r="C12" s="26" t="s">
        <v>52</v>
      </c>
      <c r="G12" s="24" t="s">
        <v>48</v>
      </c>
    </row>
    <row r="13" spans="2:9" ht="21.6" customHeight="1" x14ac:dyDescent="0.3">
      <c r="C13" s="23" t="s">
        <v>51</v>
      </c>
      <c r="D13" s="5"/>
      <c r="G13" s="4" t="s">
        <v>26</v>
      </c>
    </row>
    <row r="14" spans="2:9" ht="21.6" customHeight="1" x14ac:dyDescent="0.3">
      <c r="C14" s="4" t="s">
        <v>21</v>
      </c>
      <c r="D14" s="4" t="s">
        <v>22</v>
      </c>
      <c r="E14" s="10" t="s">
        <v>6</v>
      </c>
      <c r="G14" s="4" t="s">
        <v>30</v>
      </c>
      <c r="H14" s="4" t="s">
        <v>32</v>
      </c>
      <c r="I14" s="4" t="s">
        <v>54</v>
      </c>
    </row>
    <row r="15" spans="2:9" ht="72" x14ac:dyDescent="0.3">
      <c r="B15" t="str">
        <f>Temporary!N5&amp;Temporary!R5&amp;Temporary!O5</f>
        <v>(一)</v>
      </c>
      <c r="C15" s="5" t="s">
        <v>134</v>
      </c>
      <c r="D15" s="7" t="s">
        <v>135</v>
      </c>
      <c r="E15" s="7" t="s">
        <v>172</v>
      </c>
      <c r="G15" s="5" t="s">
        <v>44</v>
      </c>
      <c r="H15" s="5" t="s">
        <v>35</v>
      </c>
      <c r="I15" s="5" t="s">
        <v>46</v>
      </c>
    </row>
    <row r="16" spans="2:9" ht="57.6" x14ac:dyDescent="0.3">
      <c r="B16" t="str">
        <f>Temporary!N6&amp;Temporary!R6&amp;Temporary!O6</f>
        <v>(二)</v>
      </c>
      <c r="C16" s="5"/>
      <c r="D16" s="7" t="s">
        <v>136</v>
      </c>
      <c r="E16" s="7" t="s">
        <v>172</v>
      </c>
      <c r="G16" s="5" t="s">
        <v>37</v>
      </c>
      <c r="H16" s="5" t="s">
        <v>33</v>
      </c>
    </row>
    <row r="17" spans="2:8" ht="57.6" x14ac:dyDescent="0.3">
      <c r="B17" t="str">
        <f>Temporary!N7&amp;Temporary!R7&amp;Temporary!O7</f>
        <v>(三)</v>
      </c>
      <c r="C17" s="5"/>
      <c r="D17" s="7" t="s">
        <v>137</v>
      </c>
      <c r="E17" s="7" t="s">
        <v>172</v>
      </c>
      <c r="G17" s="5" t="s">
        <v>38</v>
      </c>
      <c r="H17" s="5" t="s">
        <v>34</v>
      </c>
    </row>
    <row r="18" spans="2:8" ht="43.2" x14ac:dyDescent="0.3">
      <c r="B18" t="str">
        <f>Temporary!N8&amp;Temporary!R8&amp;Temporary!O8</f>
        <v>(四)</v>
      </c>
      <c r="C18" s="5"/>
      <c r="D18" s="7" t="s">
        <v>138</v>
      </c>
      <c r="E18" s="7"/>
      <c r="G18" s="5" t="s">
        <v>39</v>
      </c>
    </row>
    <row r="19" spans="2:8" ht="28.8" x14ac:dyDescent="0.3">
      <c r="B19" t="str">
        <f>Temporary!N9&amp;Temporary!R9&amp;Temporary!O9</f>
        <v>(五)</v>
      </c>
      <c r="C19" s="5" t="s">
        <v>139</v>
      </c>
      <c r="D19" s="7" t="s">
        <v>140</v>
      </c>
      <c r="E19" s="7"/>
      <c r="G19" s="5" t="s">
        <v>40</v>
      </c>
    </row>
    <row r="20" spans="2:8" ht="43.2" x14ac:dyDescent="0.3">
      <c r="B20" t="str">
        <f>Temporary!N10&amp;Temporary!R10&amp;Temporary!O10</f>
        <v>(六)</v>
      </c>
      <c r="C20" s="5"/>
      <c r="D20" s="7" t="s">
        <v>141</v>
      </c>
      <c r="E20" s="7"/>
      <c r="G20" s="5" t="s">
        <v>41</v>
      </c>
    </row>
    <row r="21" spans="2:8" ht="28.8" x14ac:dyDescent="0.3">
      <c r="B21" t="str">
        <f>Temporary!N11&amp;Temporary!R11&amp;Temporary!O11</f>
        <v>(七)</v>
      </c>
      <c r="C21" s="5"/>
      <c r="D21" s="7" t="s">
        <v>142</v>
      </c>
      <c r="E21" s="7"/>
      <c r="G21" s="5" t="s">
        <v>42</v>
      </c>
    </row>
    <row r="22" spans="2:8" ht="21.6" customHeight="1" x14ac:dyDescent="0.3">
      <c r="B22" t="str">
        <f>Temporary!N12&amp;Temporary!R12&amp;Temporary!O12</f>
        <v>(八)</v>
      </c>
      <c r="D22" s="7" t="s">
        <v>143</v>
      </c>
      <c r="E22" s="7"/>
      <c r="G22" s="5" t="s">
        <v>43</v>
      </c>
    </row>
    <row r="23" spans="2:8" ht="21.6" customHeight="1" x14ac:dyDescent="0.3">
      <c r="B23" t="str">
        <f>Temporary!N13&amp;Temporary!R13&amp;Temporary!O13</f>
        <v>(九)</v>
      </c>
      <c r="D23" s="7" t="s">
        <v>144</v>
      </c>
      <c r="E23" s="7"/>
    </row>
    <row r="24" spans="2:8" ht="21.6" customHeight="1" x14ac:dyDescent="0.3">
      <c r="B24" t="str">
        <f>Temporary!N14&amp;Temporary!R14&amp;Temporary!O14</f>
        <v>(十)</v>
      </c>
      <c r="C24" s="5" t="s">
        <v>145</v>
      </c>
      <c r="D24" s="7" t="s">
        <v>146</v>
      </c>
      <c r="E24" s="7"/>
    </row>
    <row r="25" spans="2:8" ht="21.6" customHeight="1" x14ac:dyDescent="0.3">
      <c r="B25" t="str">
        <f>Temporary!N15&amp;Temporary!R15&amp;Temporary!O15</f>
        <v>(十一)</v>
      </c>
      <c r="D25" s="7" t="s">
        <v>147</v>
      </c>
      <c r="E25" s="7"/>
    </row>
    <row r="26" spans="2:8" ht="21.6" customHeight="1" x14ac:dyDescent="0.3">
      <c r="B26" t="str">
        <f>Temporary!N16&amp;Temporary!R16&amp;Temporary!O16</f>
        <v>(十二)</v>
      </c>
      <c r="D26" s="7" t="s">
        <v>148</v>
      </c>
      <c r="E26" s="7"/>
    </row>
    <row r="27" spans="2:8" ht="21.6" customHeight="1" x14ac:dyDescent="0.3">
      <c r="B27" t="str">
        <f>Temporary!N17&amp;Temporary!R17&amp;Temporary!O17</f>
        <v>(十三)</v>
      </c>
      <c r="D27" s="7" t="s">
        <v>149</v>
      </c>
      <c r="E27" s="7"/>
    </row>
    <row r="28" spans="2:8" ht="21.6" customHeight="1" x14ac:dyDescent="0.3">
      <c r="B28" t="str">
        <f>Temporary!N18&amp;Temporary!R18&amp;Temporary!O18</f>
        <v>(十四)</v>
      </c>
      <c r="D28" s="7" t="s">
        <v>150</v>
      </c>
      <c r="E28" s="7"/>
    </row>
    <row r="29" spans="2:8" ht="21.6" customHeight="1" x14ac:dyDescent="0.3">
      <c r="B29" t="str">
        <f>Temporary!N19&amp;Temporary!R19&amp;Temporary!O19</f>
        <v>(十五)</v>
      </c>
      <c r="C29" s="5" t="s">
        <v>152</v>
      </c>
      <c r="D29" s="7" t="s">
        <v>153</v>
      </c>
      <c r="E29" s="7"/>
    </row>
    <row r="30" spans="2:8" ht="21.6" customHeight="1" x14ac:dyDescent="0.3">
      <c r="B30" t="str">
        <f>Temporary!N20&amp;Temporary!R20&amp;Temporary!O20</f>
        <v>(十六)</v>
      </c>
      <c r="D30" s="7" t="s">
        <v>154</v>
      </c>
      <c r="E30" s="7"/>
    </row>
    <row r="31" spans="2:8" ht="21.6" customHeight="1" x14ac:dyDescent="0.3">
      <c r="B31" t="str">
        <f>Temporary!N21&amp;Temporary!R21&amp;Temporary!O21</f>
        <v>(十七)</v>
      </c>
      <c r="D31" s="7" t="s">
        <v>155</v>
      </c>
      <c r="E31" s="7"/>
    </row>
    <row r="32" spans="2:8" ht="21.6" customHeight="1" x14ac:dyDescent="0.3">
      <c r="B32" t="str">
        <f>Temporary!N22&amp;Temporary!R22&amp;Temporary!O22</f>
        <v>(十八)</v>
      </c>
      <c r="D32" s="7" t="s">
        <v>154</v>
      </c>
      <c r="E32" s="7"/>
    </row>
    <row r="33" spans="2:5" ht="21.6" customHeight="1" x14ac:dyDescent="0.3">
      <c r="B33" t="str">
        <f>Temporary!N23&amp;Temporary!R23&amp;Temporary!O23</f>
        <v>(十九)</v>
      </c>
      <c r="D33" s="7" t="s">
        <v>23</v>
      </c>
      <c r="E33" s="7"/>
    </row>
    <row r="34" spans="2:5" ht="21.6" customHeight="1" x14ac:dyDescent="0.3">
      <c r="B34" t="str">
        <f>Temporary!N24&amp;Temporary!R24&amp;Temporary!O24</f>
        <v>(二十)</v>
      </c>
    </row>
    <row r="35" spans="2:5" ht="21.6" customHeight="1" x14ac:dyDescent="0.3">
      <c r="B35" t="str">
        <f>Temporary!N25&amp;Temporary!R25&amp;Temporary!O25</f>
        <v/>
      </c>
    </row>
    <row r="36" spans="2:5" ht="21.6" customHeight="1" x14ac:dyDescent="0.3">
      <c r="B36" t="str">
        <f>Temporary!N26&amp;Temporary!R26&amp;Temporary!O26</f>
        <v/>
      </c>
    </row>
    <row r="37" spans="2:5" ht="21.6" customHeight="1" x14ac:dyDescent="0.3">
      <c r="B37" t="str">
        <f>Temporary!N27&amp;Temporary!R27&amp;Temporary!O27</f>
        <v/>
      </c>
    </row>
    <row r="38" spans="2:5" ht="21.6" customHeight="1" x14ac:dyDescent="0.3">
      <c r="B38" t="str">
        <f>Temporary!N28&amp;Temporary!R28&amp;Temporary!O28</f>
        <v/>
      </c>
    </row>
    <row r="39" spans="2:5" ht="21.6" customHeight="1" x14ac:dyDescent="0.3">
      <c r="B39" t="str">
        <f>Temporary!N29&amp;Temporary!R29&amp;Temporary!O29</f>
        <v/>
      </c>
    </row>
    <row r="40" spans="2:5" ht="21.6" customHeight="1" x14ac:dyDescent="0.3">
      <c r="B40" t="str">
        <f>Temporary!N30&amp;Temporary!R30&amp;Temporary!O30</f>
        <v/>
      </c>
    </row>
    <row r="41" spans="2:5" ht="21.6" customHeight="1" x14ac:dyDescent="0.3">
      <c r="B41" t="str">
        <f>Temporary!N31&amp;Temporary!R31&amp;Temporary!O31</f>
        <v/>
      </c>
    </row>
    <row r="42" spans="2:5" ht="21.6" customHeight="1" x14ac:dyDescent="0.3">
      <c r="B42" t="str">
        <f>Temporary!N32&amp;Temporary!R32&amp;Temporary!O32</f>
        <v/>
      </c>
    </row>
    <row r="43" spans="2:5" ht="21.6" customHeight="1" x14ac:dyDescent="0.3">
      <c r="B43" t="str">
        <f>Temporary!N33&amp;Temporary!R33&amp;Temporary!O33</f>
        <v/>
      </c>
    </row>
    <row r="44" spans="2:5" ht="21.6" customHeight="1" x14ac:dyDescent="0.3">
      <c r="B44" t="str">
        <f>Temporary!N34&amp;Temporary!R34&amp;Temporary!O34</f>
        <v/>
      </c>
    </row>
    <row r="45" spans="2:5" ht="21.6" customHeight="1" x14ac:dyDescent="0.3">
      <c r="B45" t="str">
        <f>Temporary!N35&amp;Temporary!R35&amp;Temporary!O35</f>
        <v/>
      </c>
    </row>
    <row r="46" spans="2:5" ht="21.6" customHeight="1" x14ac:dyDescent="0.3">
      <c r="B46" t="str">
        <f>Temporary!N36&amp;Temporary!R36&amp;Temporary!O36</f>
        <v/>
      </c>
    </row>
    <row r="47" spans="2:5" ht="21.6" customHeight="1" x14ac:dyDescent="0.3">
      <c r="B47" t="str">
        <f>Temporary!N37&amp;Temporary!R37&amp;Temporary!O37</f>
        <v/>
      </c>
    </row>
    <row r="48" spans="2:5" ht="21.6" customHeight="1" x14ac:dyDescent="0.3">
      <c r="B48" t="str">
        <f>Temporary!N38&amp;Temporary!R38&amp;Temporary!O38</f>
        <v/>
      </c>
    </row>
    <row r="49" spans="2:2" ht="21.6" customHeight="1" x14ac:dyDescent="0.3">
      <c r="B49" t="str">
        <f>Temporary!N39&amp;Temporary!R39&amp;Temporary!O39</f>
        <v/>
      </c>
    </row>
    <row r="50" spans="2:2" ht="21.6" customHeight="1" x14ac:dyDescent="0.3">
      <c r="B50" t="str">
        <f>Temporary!N40&amp;Temporary!R40&amp;Temporary!O40</f>
        <v/>
      </c>
    </row>
    <row r="51" spans="2:2" ht="21.6" customHeight="1" x14ac:dyDescent="0.3">
      <c r="B51" t="str">
        <f>Temporary!N41&amp;Temporary!R41&amp;Temporary!O41</f>
        <v/>
      </c>
    </row>
    <row r="52" spans="2:2" ht="21.6" customHeight="1" x14ac:dyDescent="0.3">
      <c r="B52" t="str">
        <f>Temporary!N42&amp;Temporary!R42&amp;Temporary!O42</f>
        <v/>
      </c>
    </row>
    <row r="53" spans="2:2" ht="21.6" customHeight="1" x14ac:dyDescent="0.3">
      <c r="B53" t="str">
        <f>Temporary!N43&amp;Temporary!R43&amp;Temporary!O43</f>
        <v/>
      </c>
    </row>
    <row r="54" spans="2:2" ht="21.6" customHeight="1" x14ac:dyDescent="0.3">
      <c r="B54" t="str">
        <f>Temporary!N44&amp;Temporary!R44&amp;Temporary!O44</f>
        <v/>
      </c>
    </row>
    <row r="55" spans="2:2" ht="21.6" customHeight="1" x14ac:dyDescent="0.3">
      <c r="B55" t="str">
        <f>Temporary!N45&amp;Temporary!R45&amp;Temporary!O45</f>
        <v/>
      </c>
    </row>
    <row r="56" spans="2:2" ht="21.6" customHeight="1" x14ac:dyDescent="0.3">
      <c r="B56" t="str">
        <f>Temporary!N46&amp;Temporary!R46&amp;Temporary!O46</f>
        <v/>
      </c>
    </row>
    <row r="57" spans="2:2" ht="21.6" customHeight="1" x14ac:dyDescent="0.3">
      <c r="B57" t="str">
        <f>Temporary!N47&amp;Temporary!R47&amp;Temporary!O47</f>
        <v/>
      </c>
    </row>
    <row r="58" spans="2:2" ht="21.6" customHeight="1" x14ac:dyDescent="0.3">
      <c r="B58" t="str">
        <f>Temporary!N48&amp;Temporary!R48&amp;Temporary!O48</f>
        <v/>
      </c>
    </row>
    <row r="59" spans="2:2" ht="21.6" customHeight="1" x14ac:dyDescent="0.3">
      <c r="B59" t="str">
        <f>Temporary!N49&amp;Temporary!R49&amp;Temporary!O49</f>
        <v/>
      </c>
    </row>
    <row r="60" spans="2:2" ht="21.6" customHeight="1" x14ac:dyDescent="0.3">
      <c r="B60" t="str">
        <f>Temporary!N50&amp;Temporary!R50&amp;Temporary!O50</f>
        <v/>
      </c>
    </row>
    <row r="61" spans="2:2" ht="21.6" customHeight="1" x14ac:dyDescent="0.3">
      <c r="B61" t="str">
        <f>Temporary!N51&amp;Temporary!R51&amp;Temporary!O51</f>
        <v/>
      </c>
    </row>
    <row r="62" spans="2:2" ht="21.6" customHeight="1" x14ac:dyDescent="0.3">
      <c r="B62" t="str">
        <f>Temporary!N52&amp;Temporary!R52&amp;Temporary!O52</f>
        <v/>
      </c>
    </row>
    <row r="63" spans="2:2" ht="21.6" customHeight="1" x14ac:dyDescent="0.3">
      <c r="B63" t="str">
        <f>Temporary!N53&amp;Temporary!R53&amp;Temporary!O53</f>
        <v/>
      </c>
    </row>
    <row r="64" spans="2:2" ht="21.6" customHeight="1" x14ac:dyDescent="0.3">
      <c r="B64" t="str">
        <f>Temporary!N54&amp;Temporary!R54&amp;Temporary!O54</f>
        <v/>
      </c>
    </row>
    <row r="65" spans="2:2" ht="21.6" customHeight="1" x14ac:dyDescent="0.3">
      <c r="B65" t="str">
        <f>Temporary!N55&amp;Temporary!R55&amp;Temporary!O55</f>
        <v/>
      </c>
    </row>
    <row r="66" spans="2:2" ht="21.6" customHeight="1" x14ac:dyDescent="0.3">
      <c r="B66" t="str">
        <f>Temporary!N56&amp;Temporary!R56&amp;Temporary!O56</f>
        <v/>
      </c>
    </row>
    <row r="67" spans="2:2" ht="21.6" customHeight="1" x14ac:dyDescent="0.3">
      <c r="B67" t="str">
        <f>Temporary!N57&amp;Temporary!R57&amp;Temporary!O57</f>
        <v/>
      </c>
    </row>
    <row r="68" spans="2:2" ht="21.6" customHeight="1" x14ac:dyDescent="0.3">
      <c r="B68" t="str">
        <f>Temporary!N58&amp;Temporary!R58&amp;Temporary!O58</f>
        <v/>
      </c>
    </row>
    <row r="69" spans="2:2" ht="21.6" customHeight="1" x14ac:dyDescent="0.3">
      <c r="B69" t="str">
        <f>Temporary!N59&amp;Temporary!R59&amp;Temporary!O59</f>
        <v/>
      </c>
    </row>
    <row r="70" spans="2:2" ht="21.6" customHeight="1" x14ac:dyDescent="0.3">
      <c r="B70" t="str">
        <f>Temporary!N60&amp;Temporary!R60&amp;Temporary!O60</f>
        <v/>
      </c>
    </row>
    <row r="71" spans="2:2" ht="21.6" customHeight="1" x14ac:dyDescent="0.3">
      <c r="B71" t="str">
        <f>Temporary!N61&amp;Temporary!R61&amp;Temporary!O61</f>
        <v/>
      </c>
    </row>
    <row r="72" spans="2:2" ht="21.6" customHeight="1" x14ac:dyDescent="0.3">
      <c r="B72" t="str">
        <f>Temporary!N62&amp;Temporary!R62&amp;Temporary!O62</f>
        <v/>
      </c>
    </row>
    <row r="73" spans="2:2" ht="21.6" customHeight="1" x14ac:dyDescent="0.3">
      <c r="B73" t="str">
        <f>Temporary!N63&amp;Temporary!R63&amp;Temporary!O63</f>
        <v/>
      </c>
    </row>
    <row r="74" spans="2:2" ht="21.6" customHeight="1" x14ac:dyDescent="0.3">
      <c r="B74" t="str">
        <f>Temporary!N64&amp;Temporary!R64&amp;Temporary!O64</f>
        <v/>
      </c>
    </row>
    <row r="75" spans="2:2" ht="21.6" customHeight="1" x14ac:dyDescent="0.3">
      <c r="B75" t="str">
        <f>Temporary!N65&amp;Temporary!R65&amp;Temporary!O65</f>
        <v/>
      </c>
    </row>
    <row r="76" spans="2:2" ht="21.6" customHeight="1" x14ac:dyDescent="0.3">
      <c r="B76" t="str">
        <f>Temporary!N66&amp;Temporary!R66&amp;Temporary!O66</f>
        <v/>
      </c>
    </row>
    <row r="77" spans="2:2" ht="21.6" customHeight="1" x14ac:dyDescent="0.3">
      <c r="B77" t="str">
        <f>Temporary!N67&amp;Temporary!R67&amp;Temporary!O67</f>
        <v/>
      </c>
    </row>
    <row r="78" spans="2:2" ht="21.6" customHeight="1" x14ac:dyDescent="0.3">
      <c r="B78" t="str">
        <f>Temporary!N68&amp;Temporary!R68&amp;Temporary!O68</f>
        <v/>
      </c>
    </row>
    <row r="79" spans="2:2" ht="21.6" customHeight="1" x14ac:dyDescent="0.3">
      <c r="B79" t="str">
        <f>Temporary!N69&amp;Temporary!R69&amp;Temporary!O69</f>
        <v/>
      </c>
    </row>
    <row r="80" spans="2:2" ht="21.6" customHeight="1" x14ac:dyDescent="0.3">
      <c r="B80" t="str">
        <f>Temporary!N70&amp;Temporary!R70&amp;Temporary!O70</f>
        <v/>
      </c>
    </row>
    <row r="81" spans="2:2" ht="21.6" customHeight="1" x14ac:dyDescent="0.3">
      <c r="B81" t="str">
        <f>Temporary!N71&amp;Temporary!R71&amp;Temporary!O71</f>
        <v/>
      </c>
    </row>
    <row r="82" spans="2:2" ht="21.6" customHeight="1" x14ac:dyDescent="0.3">
      <c r="B82" t="str">
        <f>Temporary!N72&amp;Temporary!R72&amp;Temporary!O72</f>
        <v/>
      </c>
    </row>
    <row r="83" spans="2:2" ht="21.6" customHeight="1" x14ac:dyDescent="0.3">
      <c r="B83" t="str">
        <f>Temporary!N73&amp;Temporary!R73&amp;Temporary!O73</f>
        <v/>
      </c>
    </row>
    <row r="84" spans="2:2" ht="21.6" customHeight="1" x14ac:dyDescent="0.3">
      <c r="B84" t="str">
        <f>Temporary!N74&amp;Temporary!R74&amp;Temporary!O74</f>
        <v/>
      </c>
    </row>
    <row r="85" spans="2:2" ht="21.6" customHeight="1" x14ac:dyDescent="0.3">
      <c r="B85" t="str">
        <f>Temporary!N75&amp;Temporary!R75&amp;Temporary!O75</f>
        <v/>
      </c>
    </row>
    <row r="86" spans="2:2" ht="21.6" customHeight="1" x14ac:dyDescent="0.3">
      <c r="B86" t="str">
        <f>Temporary!N76&amp;Temporary!R76&amp;Temporary!O76</f>
        <v/>
      </c>
    </row>
    <row r="87" spans="2:2" ht="21.6" customHeight="1" x14ac:dyDescent="0.3">
      <c r="B87" t="str">
        <f>Temporary!N77&amp;Temporary!R77&amp;Temporary!O77</f>
        <v/>
      </c>
    </row>
    <row r="88" spans="2:2" ht="21.6" customHeight="1" x14ac:dyDescent="0.3">
      <c r="B88" t="str">
        <f>Temporary!N78&amp;Temporary!R78&amp;Temporary!O78</f>
        <v/>
      </c>
    </row>
    <row r="89" spans="2:2" ht="21.6" customHeight="1" x14ac:dyDescent="0.3">
      <c r="B89" t="str">
        <f>Temporary!N79&amp;Temporary!R79&amp;Temporary!O79</f>
        <v/>
      </c>
    </row>
    <row r="90" spans="2:2" ht="21.6" customHeight="1" x14ac:dyDescent="0.3">
      <c r="B90" t="str">
        <f>Temporary!N80&amp;Temporary!R80&amp;Temporary!O80</f>
        <v/>
      </c>
    </row>
    <row r="91" spans="2:2" ht="21.6" customHeight="1" x14ac:dyDescent="0.3">
      <c r="B91" t="str">
        <f>Temporary!N81&amp;Temporary!R81&amp;Temporary!O81</f>
        <v/>
      </c>
    </row>
    <row r="92" spans="2:2" ht="21.6" customHeight="1" x14ac:dyDescent="0.3">
      <c r="B92" t="str">
        <f>Temporary!N82&amp;Temporary!R82&amp;Temporary!O82</f>
        <v/>
      </c>
    </row>
    <row r="93" spans="2:2" ht="21.6" customHeight="1" x14ac:dyDescent="0.3">
      <c r="B93" t="str">
        <f>Temporary!N83&amp;Temporary!R83&amp;Temporary!O83</f>
        <v/>
      </c>
    </row>
    <row r="94" spans="2:2" ht="21.6" customHeight="1" x14ac:dyDescent="0.3">
      <c r="B94" t="str">
        <f>Temporary!N84&amp;Temporary!R84&amp;Temporary!O84</f>
        <v/>
      </c>
    </row>
    <row r="95" spans="2:2" ht="21.6" customHeight="1" x14ac:dyDescent="0.3">
      <c r="B95" t="str">
        <f>Temporary!N85&amp;Temporary!R85&amp;Temporary!O85</f>
        <v/>
      </c>
    </row>
    <row r="96" spans="2:2" ht="21.6" customHeight="1" x14ac:dyDescent="0.3">
      <c r="B96" t="str">
        <f>Temporary!N86&amp;Temporary!R86&amp;Temporary!O86</f>
        <v/>
      </c>
    </row>
    <row r="97" spans="2:2" ht="21.6" customHeight="1" x14ac:dyDescent="0.3">
      <c r="B97" t="str">
        <f>Temporary!N87&amp;Temporary!R87&amp;Temporary!O87</f>
        <v/>
      </c>
    </row>
    <row r="98" spans="2:2" ht="21.6" customHeight="1" x14ac:dyDescent="0.3">
      <c r="B98" t="str">
        <f>Temporary!N88&amp;Temporary!R88&amp;Temporary!O88</f>
        <v/>
      </c>
    </row>
    <row r="99" spans="2:2" ht="21.6" customHeight="1" x14ac:dyDescent="0.3">
      <c r="B99" t="str">
        <f>Temporary!N89&amp;Temporary!R89&amp;Temporary!O89</f>
        <v/>
      </c>
    </row>
    <row r="100" spans="2:2" ht="21.6" customHeight="1" x14ac:dyDescent="0.3">
      <c r="B100" t="str">
        <f>Temporary!N90&amp;Temporary!R90&amp;Temporary!O90</f>
        <v/>
      </c>
    </row>
    <row r="101" spans="2:2" ht="21.6" customHeight="1" x14ac:dyDescent="0.3">
      <c r="B101" t="str">
        <f>Temporary!N91&amp;Temporary!R91&amp;Temporary!O91</f>
        <v/>
      </c>
    </row>
    <row r="102" spans="2:2" ht="21.6" customHeight="1" x14ac:dyDescent="0.3">
      <c r="B102" t="str">
        <f>Temporary!N92&amp;Temporary!R92&amp;Temporary!O92</f>
        <v/>
      </c>
    </row>
    <row r="103" spans="2:2" ht="21.6" customHeight="1" x14ac:dyDescent="0.3">
      <c r="B103" t="str">
        <f>Temporary!N93&amp;Temporary!R93&amp;Temporary!O93</f>
        <v/>
      </c>
    </row>
    <row r="104" spans="2:2" ht="21.6" customHeight="1" x14ac:dyDescent="0.3">
      <c r="B104" t="str">
        <f>Temporary!N94&amp;Temporary!R94&amp;Temporary!O94</f>
        <v/>
      </c>
    </row>
    <row r="105" spans="2:2" ht="21.6" customHeight="1" x14ac:dyDescent="0.3">
      <c r="B105" t="str">
        <f>Temporary!N95&amp;Temporary!R95&amp;Temporary!O95</f>
        <v/>
      </c>
    </row>
    <row r="106" spans="2:2" ht="21.6" customHeight="1" x14ac:dyDescent="0.3">
      <c r="B106" t="str">
        <f>Temporary!N96&amp;Temporary!R96&amp;Temporary!O96</f>
        <v/>
      </c>
    </row>
    <row r="107" spans="2:2" ht="21.6" customHeight="1" x14ac:dyDescent="0.3">
      <c r="B107" t="str">
        <f>Temporary!N97&amp;Temporary!R97&amp;Temporary!O97</f>
        <v/>
      </c>
    </row>
    <row r="108" spans="2:2" ht="21.6" customHeight="1" x14ac:dyDescent="0.3">
      <c r="B108" t="str">
        <f>Temporary!N98&amp;Temporary!R98&amp;Temporary!O98</f>
        <v/>
      </c>
    </row>
    <row r="109" spans="2:2" ht="21.6" customHeight="1" x14ac:dyDescent="0.3">
      <c r="B109" t="str">
        <f>Temporary!N99&amp;Temporary!R99&amp;Temporary!O99</f>
        <v/>
      </c>
    </row>
    <row r="110" spans="2:2" ht="21.6" customHeight="1" x14ac:dyDescent="0.3">
      <c r="B110" t="str">
        <f>Temporary!N100&amp;Temporary!R100&amp;Temporary!O100</f>
        <v/>
      </c>
    </row>
    <row r="111" spans="2:2" ht="21.6" customHeight="1" x14ac:dyDescent="0.3">
      <c r="B111" t="str">
        <f>Temporary!N101&amp;Temporary!R101&amp;Temporary!O101</f>
        <v/>
      </c>
    </row>
    <row r="112" spans="2:2" ht="21.6" customHeight="1" x14ac:dyDescent="0.3">
      <c r="B112" t="str">
        <f>Temporary!N102&amp;Temporary!R102&amp;Temporary!O102</f>
        <v/>
      </c>
    </row>
    <row r="113" spans="2:2" ht="21.6" customHeight="1" x14ac:dyDescent="0.3">
      <c r="B113" t="str">
        <f>Temporary!N103&amp;Temporary!R103&amp;Temporary!O103</f>
        <v/>
      </c>
    </row>
    <row r="114" spans="2:2" ht="21.6" customHeight="1" x14ac:dyDescent="0.3">
      <c r="B114" t="str">
        <f>Temporary!N104&amp;Temporary!R104&amp;Temporary!O104</f>
        <v/>
      </c>
    </row>
    <row r="115" spans="2:2" ht="21.6" customHeight="1" x14ac:dyDescent="0.3">
      <c r="B115" t="str">
        <f>Temporary!N105&amp;Temporary!R105&amp;Temporary!O105</f>
        <v/>
      </c>
    </row>
    <row r="116" spans="2:2" ht="21.6" customHeight="1" x14ac:dyDescent="0.3">
      <c r="B116" t="str">
        <f>Temporary!N106&amp;Temporary!R106&amp;Temporary!O106</f>
        <v/>
      </c>
    </row>
    <row r="117" spans="2:2" ht="21.6" customHeight="1" x14ac:dyDescent="0.3">
      <c r="B117" t="str">
        <f>Temporary!N107&amp;Temporary!R107&amp;Temporary!O107</f>
        <v/>
      </c>
    </row>
    <row r="118" spans="2:2" ht="21.6" customHeight="1" x14ac:dyDescent="0.3">
      <c r="B118" t="str">
        <f>Temporary!N108&amp;Temporary!R108&amp;Temporary!O108</f>
        <v/>
      </c>
    </row>
    <row r="119" spans="2:2" ht="21.6" customHeight="1" x14ac:dyDescent="0.3">
      <c r="B119" t="str">
        <f>Temporary!N109&amp;Temporary!R109&amp;Temporary!O109</f>
        <v/>
      </c>
    </row>
    <row r="120" spans="2:2" ht="21.6" customHeight="1" x14ac:dyDescent="0.3">
      <c r="B120" t="str">
        <f>Temporary!N110&amp;Temporary!R110&amp;Temporary!O110</f>
        <v/>
      </c>
    </row>
    <row r="121" spans="2:2" ht="21.6" customHeight="1" x14ac:dyDescent="0.3">
      <c r="B121" t="str">
        <f>Temporary!N111&amp;Temporary!R111&amp;Temporary!O111</f>
        <v/>
      </c>
    </row>
    <row r="122" spans="2:2" ht="21.6" customHeight="1" x14ac:dyDescent="0.3">
      <c r="B122" t="str">
        <f>Temporary!N112&amp;Temporary!R112&amp;Temporary!O112</f>
        <v/>
      </c>
    </row>
    <row r="123" spans="2:2" ht="21.6" customHeight="1" x14ac:dyDescent="0.3">
      <c r="B123" t="str">
        <f>Temporary!N113&amp;Temporary!R113&amp;Temporary!O113</f>
        <v/>
      </c>
    </row>
    <row r="124" spans="2:2" ht="21.6" customHeight="1" x14ac:dyDescent="0.3">
      <c r="B124" t="str">
        <f>Temporary!N114&amp;Temporary!R114&amp;Temporary!O114</f>
        <v/>
      </c>
    </row>
    <row r="125" spans="2:2" ht="21.6" customHeight="1" x14ac:dyDescent="0.3">
      <c r="B125" t="str">
        <f>Temporary!N115&amp;Temporary!R115&amp;Temporary!O115</f>
        <v/>
      </c>
    </row>
    <row r="126" spans="2:2" ht="21.6" customHeight="1" x14ac:dyDescent="0.3">
      <c r="B126" t="str">
        <f>Temporary!N116&amp;Temporary!R116&amp;Temporary!O116</f>
        <v/>
      </c>
    </row>
    <row r="127" spans="2:2" ht="21.6" customHeight="1" x14ac:dyDescent="0.3">
      <c r="B127" t="str">
        <f>Temporary!N117&amp;Temporary!R117&amp;Temporary!O117</f>
        <v/>
      </c>
    </row>
    <row r="128" spans="2:2" ht="21.6" customHeight="1" x14ac:dyDescent="0.3">
      <c r="B128" t="str">
        <f>Temporary!N118&amp;Temporary!R118&amp;Temporary!O118</f>
        <v/>
      </c>
    </row>
    <row r="129" spans="2:2" ht="21.6" customHeight="1" x14ac:dyDescent="0.3">
      <c r="B129" t="str">
        <f>Temporary!N119&amp;Temporary!R119&amp;Temporary!O119</f>
        <v/>
      </c>
    </row>
    <row r="130" spans="2:2" ht="21.6" customHeight="1" x14ac:dyDescent="0.3">
      <c r="B130" t="str">
        <f>Temporary!N120&amp;Temporary!R120&amp;Temporary!O120</f>
        <v/>
      </c>
    </row>
    <row r="131" spans="2:2" ht="21.6" customHeight="1" x14ac:dyDescent="0.3">
      <c r="B131" t="str">
        <f>Temporary!N121&amp;Temporary!R121&amp;Temporary!O121</f>
        <v/>
      </c>
    </row>
    <row r="132" spans="2:2" ht="21.6" customHeight="1" x14ac:dyDescent="0.3">
      <c r="B132" t="str">
        <f>Temporary!N122&amp;Temporary!R122&amp;Temporary!O122</f>
        <v/>
      </c>
    </row>
    <row r="133" spans="2:2" ht="21.6" customHeight="1" x14ac:dyDescent="0.3">
      <c r="B133" t="str">
        <f>Temporary!N123&amp;Temporary!R123&amp;Temporary!O123</f>
        <v/>
      </c>
    </row>
    <row r="134" spans="2:2" ht="21.6" customHeight="1" x14ac:dyDescent="0.3">
      <c r="B134" t="str">
        <f>Temporary!N124&amp;Temporary!R124&amp;Temporary!O124</f>
        <v/>
      </c>
    </row>
  </sheetData>
  <phoneticPr fontId="1" type="noConversion"/>
  <pageMargins left="0.70866141732283472" right="0.70866141732283472" top="0.74803149606299213" bottom="0.74803149606299213" header="0.31496062992125984" footer="0.31496062992125984"/>
  <pageSetup paperSize="9" scale="57"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6</xdr:col>
                    <xdr:colOff>312420</xdr:colOff>
                    <xdr:row>3</xdr:row>
                    <xdr:rowOff>38100</xdr:rowOff>
                  </from>
                  <to>
                    <xdr:col>6</xdr:col>
                    <xdr:colOff>2004060</xdr:colOff>
                    <xdr:row>5</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49D4897C-5600-463D-9E88-F095506C8AF1}">
          <x14:formula1>
            <xm:f>Temporary!$D$19:$D$20</xm:f>
          </x14:formula1>
          <xm:sqref>D10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F53D-76DB-4D3D-816C-875D9D5FB1E8}">
  <sheetPr codeName="工作表8"/>
  <dimension ref="A1:T32"/>
  <sheetViews>
    <sheetView workbookViewId="0">
      <selection activeCell="N3" sqref="N3:S17"/>
    </sheetView>
  </sheetViews>
  <sheetFormatPr defaultRowHeight="16.2" x14ac:dyDescent="0.3"/>
  <cols>
    <col min="1" max="1" width="24.5546875" style="15" customWidth="1"/>
    <col min="2" max="2" width="143.21875" style="15" bestFit="1" customWidth="1"/>
    <col min="3" max="3" width="8.88671875" style="15" customWidth="1"/>
    <col min="4" max="4" width="41.5546875" style="12" customWidth="1"/>
    <col min="5" max="5" width="8.88671875" style="15"/>
    <col min="6" max="6" width="19.33203125" style="15" bestFit="1" customWidth="1"/>
    <col min="7" max="7" width="42.88671875" style="15" bestFit="1" customWidth="1"/>
    <col min="8" max="8" width="58.33203125" style="15" bestFit="1" customWidth="1"/>
    <col min="9" max="9" width="20.77734375" style="15" bestFit="1" customWidth="1"/>
    <col min="10" max="10" width="7.77734375" style="15" bestFit="1" customWidth="1"/>
    <col min="11" max="11" width="35.6640625" style="15" bestFit="1" customWidth="1"/>
    <col min="12" max="12" width="9" style="15" customWidth="1"/>
    <col min="13" max="13" width="8.88671875" style="15"/>
    <col min="14" max="14" width="10.44140625" style="15" bestFit="1" customWidth="1"/>
    <col min="15" max="18" width="8.88671875" style="15"/>
    <col min="19" max="19" width="8.88671875" style="55"/>
    <col min="20" max="16384" width="8.88671875" style="15"/>
  </cols>
  <sheetData>
    <row r="1" spans="1:20" x14ac:dyDescent="0.3">
      <c r="A1" s="14" t="s">
        <v>24</v>
      </c>
      <c r="B1" s="14" t="s">
        <v>3</v>
      </c>
    </row>
    <row r="2" spans="1:20" ht="16.8" thickBot="1" x14ac:dyDescent="0.35">
      <c r="A2" s="15" t="s">
        <v>134</v>
      </c>
    </row>
    <row r="3" spans="1:20" ht="16.8" thickBot="1" x14ac:dyDescent="0.35">
      <c r="B3" s="15" t="s">
        <v>135</v>
      </c>
      <c r="N3" s="42" t="s">
        <v>115</v>
      </c>
    </row>
    <row r="4" spans="1:20" ht="16.8" thickBot="1" x14ac:dyDescent="0.35">
      <c r="B4" s="15" t="s">
        <v>138</v>
      </c>
      <c r="D4" s="12" t="s">
        <v>71</v>
      </c>
      <c r="F4" t="s">
        <v>68</v>
      </c>
      <c r="G4" s="15" t="s">
        <v>29</v>
      </c>
      <c r="H4" s="15" t="s">
        <v>31</v>
      </c>
      <c r="I4" s="15" t="s">
        <v>53</v>
      </c>
      <c r="J4"/>
      <c r="K4" s="15" t="s">
        <v>27</v>
      </c>
      <c r="N4" s="43" t="s">
        <v>99</v>
      </c>
      <c r="O4" s="44" t="s">
        <v>100</v>
      </c>
      <c r="P4" s="44" t="s">
        <v>101</v>
      </c>
      <c r="Q4" s="44" t="s">
        <v>102</v>
      </c>
      <c r="R4" s="44" t="s">
        <v>96</v>
      </c>
      <c r="S4" s="58" t="s">
        <v>103</v>
      </c>
      <c r="T4" s="45" t="s">
        <v>124</v>
      </c>
    </row>
    <row r="5" spans="1:20" x14ac:dyDescent="0.3">
      <c r="B5" s="15" t="s">
        <v>136</v>
      </c>
      <c r="D5" s="33" t="s">
        <v>82</v>
      </c>
      <c r="F5" t="s">
        <v>46</v>
      </c>
      <c r="G5" t="s">
        <v>56</v>
      </c>
      <c r="H5" s="15" t="s">
        <v>65</v>
      </c>
      <c r="I5" s="15" t="s">
        <v>69</v>
      </c>
      <c r="J5"/>
      <c r="K5" s="15" t="s">
        <v>134</v>
      </c>
      <c r="N5" s="47" t="s">
        <v>94</v>
      </c>
      <c r="O5" s="47" t="s">
        <v>95</v>
      </c>
      <c r="P5" s="47" t="s">
        <v>104</v>
      </c>
      <c r="Q5" s="47" t="s">
        <v>105</v>
      </c>
      <c r="R5" s="47" t="s">
        <v>83</v>
      </c>
      <c r="S5" s="56">
        <v>1</v>
      </c>
      <c r="T5" s="47" t="s">
        <v>125</v>
      </c>
    </row>
    <row r="6" spans="1:20" x14ac:dyDescent="0.3">
      <c r="B6" s="15" t="s">
        <v>137</v>
      </c>
      <c r="D6" s="34">
        <f ca="1">YEAR(TODAY())-1911</f>
        <v>111</v>
      </c>
      <c r="F6"/>
      <c r="G6" t="s">
        <v>57</v>
      </c>
      <c r="H6" s="15" t="s">
        <v>66</v>
      </c>
      <c r="J6"/>
      <c r="K6" s="15" t="s">
        <v>139</v>
      </c>
      <c r="N6" s="46" t="s">
        <v>94</v>
      </c>
      <c r="O6" s="46" t="s">
        <v>95</v>
      </c>
      <c r="P6" s="46" t="s">
        <v>104</v>
      </c>
      <c r="Q6" s="46" t="s">
        <v>105</v>
      </c>
      <c r="R6" s="46" t="s">
        <v>84</v>
      </c>
      <c r="S6" s="57">
        <v>2</v>
      </c>
      <c r="T6" s="47" t="s">
        <v>125</v>
      </c>
    </row>
    <row r="7" spans="1:20" ht="32.4" x14ac:dyDescent="0.3">
      <c r="A7" s="15" t="s">
        <v>139</v>
      </c>
      <c r="D7" s="34" t="s">
        <v>64</v>
      </c>
      <c r="F7"/>
      <c r="G7" t="s">
        <v>58</v>
      </c>
      <c r="H7" s="15" t="s">
        <v>67</v>
      </c>
      <c r="J7"/>
      <c r="K7" s="15" t="s">
        <v>145</v>
      </c>
      <c r="N7" s="46" t="s">
        <v>94</v>
      </c>
      <c r="O7" s="46" t="s">
        <v>95</v>
      </c>
      <c r="P7" s="46" t="s">
        <v>104</v>
      </c>
      <c r="Q7" s="46" t="s">
        <v>105</v>
      </c>
      <c r="R7" s="46" t="s">
        <v>85</v>
      </c>
      <c r="S7" s="57">
        <v>3</v>
      </c>
      <c r="T7" s="47" t="s">
        <v>125</v>
      </c>
    </row>
    <row r="8" spans="1:20" ht="48.6" x14ac:dyDescent="0.3">
      <c r="B8" s="15" t="s">
        <v>140</v>
      </c>
      <c r="D8" s="34" t="str">
        <f>_xlfn.TEXTJOIN("、",1,作業清單[作業清單])</f>
        <v>一、使用者徵審管理作業、二、通路商業務洽談與評估作業、三、通路商付款及入帳作業、四、 委外管理作業管理</v>
      </c>
      <c r="F8"/>
      <c r="G8" t="s">
        <v>59</v>
      </c>
      <c r="J8"/>
      <c r="K8" s="15" t="s">
        <v>151</v>
      </c>
      <c r="N8" s="46" t="s">
        <v>94</v>
      </c>
      <c r="O8" s="46" t="s">
        <v>95</v>
      </c>
      <c r="P8" s="46" t="s">
        <v>104</v>
      </c>
      <c r="Q8" s="46" t="s">
        <v>105</v>
      </c>
      <c r="R8" s="46" t="s">
        <v>86</v>
      </c>
      <c r="S8" s="57">
        <v>4</v>
      </c>
      <c r="T8" s="47" t="s">
        <v>125</v>
      </c>
    </row>
    <row r="9" spans="1:20" x14ac:dyDescent="0.3">
      <c r="B9" s="15" t="s">
        <v>141</v>
      </c>
      <c r="D9" s="34" t="s">
        <v>28</v>
      </c>
      <c r="F9"/>
      <c r="G9" t="s">
        <v>60</v>
      </c>
      <c r="J9"/>
      <c r="N9" s="46" t="s">
        <v>94</v>
      </c>
      <c r="O9" s="46" t="s">
        <v>95</v>
      </c>
      <c r="P9" s="46" t="s">
        <v>104</v>
      </c>
      <c r="Q9" s="46" t="s">
        <v>105</v>
      </c>
      <c r="R9" s="46" t="s">
        <v>87</v>
      </c>
      <c r="S9" s="57">
        <v>5</v>
      </c>
      <c r="T9" s="47" t="s">
        <v>125</v>
      </c>
    </row>
    <row r="10" spans="1:20" ht="64.8" x14ac:dyDescent="0.3">
      <c r="B10" s="15" t="s">
        <v>144</v>
      </c>
      <c r="D10" s="32" t="str">
        <f>_xlfn.TEXTJOIN("、",1,引用法規[外部法規])</f>
        <v>「電子支付機構資訊系統標準及安全控管作業基準」、「金融機構提供行動裝置應用程式作業規範」、「金融機構運用新興科技作業規範」</v>
      </c>
      <c r="F10"/>
      <c r="G10" t="s">
        <v>61</v>
      </c>
      <c r="J10"/>
      <c r="N10" s="46" t="s">
        <v>94</v>
      </c>
      <c r="O10" s="46" t="s">
        <v>95</v>
      </c>
      <c r="P10" s="46" t="s">
        <v>104</v>
      </c>
      <c r="Q10" s="46" t="s">
        <v>105</v>
      </c>
      <c r="R10" s="46" t="s">
        <v>88</v>
      </c>
      <c r="S10" s="57">
        <v>6</v>
      </c>
      <c r="T10" s="47" t="s">
        <v>125</v>
      </c>
    </row>
    <row r="11" spans="1:20" x14ac:dyDescent="0.3">
      <c r="B11" s="15" t="s">
        <v>142</v>
      </c>
      <c r="D11" s="34" t="s">
        <v>36</v>
      </c>
      <c r="F11"/>
      <c r="G11" t="s">
        <v>62</v>
      </c>
      <c r="J11"/>
      <c r="N11" s="46" t="s">
        <v>94</v>
      </c>
      <c r="O11" s="46" t="s">
        <v>95</v>
      </c>
      <c r="P11" s="46" t="s">
        <v>104</v>
      </c>
      <c r="Q11" s="46" t="s">
        <v>105</v>
      </c>
      <c r="R11" s="46" t="s">
        <v>89</v>
      </c>
      <c r="S11" s="57">
        <v>7</v>
      </c>
      <c r="T11" s="47" t="s">
        <v>125</v>
      </c>
    </row>
    <row r="12" spans="1:20" x14ac:dyDescent="0.3">
      <c r="B12" s="15" t="s">
        <v>143</v>
      </c>
      <c r="D12" s="34" t="s">
        <v>45</v>
      </c>
      <c r="F12"/>
      <c r="G12" t="s">
        <v>63</v>
      </c>
      <c r="J12"/>
      <c r="N12" s="46" t="s">
        <v>94</v>
      </c>
      <c r="O12" s="46" t="s">
        <v>95</v>
      </c>
      <c r="P12" s="46" t="s">
        <v>104</v>
      </c>
      <c r="Q12" s="46" t="s">
        <v>105</v>
      </c>
      <c r="R12" s="46" t="s">
        <v>90</v>
      </c>
      <c r="S12" s="57">
        <v>8</v>
      </c>
      <c r="T12" s="47" t="s">
        <v>125</v>
      </c>
    </row>
    <row r="13" spans="1:20" x14ac:dyDescent="0.3">
      <c r="A13" s="15" t="s">
        <v>145</v>
      </c>
      <c r="D13" s="32" t="str">
        <f>_xlfn.TEXTJOIN("、",1,引用法規[查核循環])</f>
        <v>「資訊作業循環」</v>
      </c>
      <c r="N13" s="46" t="s">
        <v>94</v>
      </c>
      <c r="O13" s="46" t="s">
        <v>95</v>
      </c>
      <c r="P13" s="46" t="s">
        <v>104</v>
      </c>
      <c r="Q13" s="46" t="s">
        <v>105</v>
      </c>
      <c r="R13" s="46" t="s">
        <v>91</v>
      </c>
      <c r="S13" s="57">
        <v>9</v>
      </c>
      <c r="T13" s="47" t="s">
        <v>125</v>
      </c>
    </row>
    <row r="14" spans="1:20" ht="33" thickBot="1" x14ac:dyDescent="0.35">
      <c r="B14" s="15" t="s">
        <v>150</v>
      </c>
      <c r="D14" s="35" t="s">
        <v>47</v>
      </c>
      <c r="N14" s="46" t="s">
        <v>94</v>
      </c>
      <c r="O14" s="46" t="s">
        <v>95</v>
      </c>
      <c r="P14" s="46" t="s">
        <v>104</v>
      </c>
      <c r="Q14" s="46" t="s">
        <v>105</v>
      </c>
      <c r="R14" s="46" t="s">
        <v>92</v>
      </c>
      <c r="S14" s="57">
        <v>10</v>
      </c>
      <c r="T14" s="47" t="s">
        <v>125</v>
      </c>
    </row>
    <row r="15" spans="1:20" x14ac:dyDescent="0.3">
      <c r="B15" s="15" t="s">
        <v>147</v>
      </c>
      <c r="N15" s="46" t="s">
        <v>94</v>
      </c>
      <c r="O15" s="46" t="s">
        <v>95</v>
      </c>
      <c r="P15" s="46" t="s">
        <v>104</v>
      </c>
      <c r="Q15" s="46" t="s">
        <v>105</v>
      </c>
      <c r="R15" s="46" t="s">
        <v>93</v>
      </c>
      <c r="S15" s="57">
        <v>11</v>
      </c>
      <c r="T15" s="47" t="s">
        <v>125</v>
      </c>
    </row>
    <row r="16" spans="1:20" ht="16.8" thickBot="1" x14ac:dyDescent="0.35">
      <c r="B16" s="15" t="s">
        <v>148</v>
      </c>
      <c r="D16" s="12" t="s">
        <v>70</v>
      </c>
      <c r="N16" s="46" t="s">
        <v>94</v>
      </c>
      <c r="O16" s="46" t="s">
        <v>95</v>
      </c>
      <c r="P16" s="46" t="s">
        <v>104</v>
      </c>
      <c r="Q16" s="46" t="s">
        <v>105</v>
      </c>
      <c r="R16" s="46" t="s">
        <v>106</v>
      </c>
      <c r="S16" s="57">
        <v>12</v>
      </c>
      <c r="T16" s="47" t="s">
        <v>125</v>
      </c>
    </row>
    <row r="17" spans="1:20" ht="211.2" thickBot="1" x14ac:dyDescent="0.35">
      <c r="B17" s="15" t="s">
        <v>149</v>
      </c>
      <c r="D17" s="31" t="str">
        <f ca="1">_xlfn.CONCAT(D5:D14)</f>
        <v xml:space="preserve">    本次查核為辦理本公司111年度稽核計畫中技術部之一般查核，查核項目：一、使用者徵審管理作業、二、通路商業務洽談與評估作業、三、通路商付款及入帳作業、四、 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資訊作業循環」 等主要規範進行查核，相關查核作業項目及重點說明如下:</v>
      </c>
      <c r="N17" s="46" t="s">
        <v>94</v>
      </c>
      <c r="O17" s="46" t="s">
        <v>95</v>
      </c>
      <c r="P17" s="46" t="s">
        <v>104</v>
      </c>
      <c r="Q17" s="46" t="s">
        <v>105</v>
      </c>
      <c r="R17" s="46" t="s">
        <v>107</v>
      </c>
      <c r="S17" s="57">
        <v>13</v>
      </c>
      <c r="T17" s="47" t="s">
        <v>125</v>
      </c>
    </row>
    <row r="18" spans="1:20" x14ac:dyDescent="0.3">
      <c r="B18" s="15" t="s">
        <v>146</v>
      </c>
      <c r="N18" s="46" t="s">
        <v>94</v>
      </c>
      <c r="O18" s="46" t="s">
        <v>95</v>
      </c>
      <c r="P18" s="46" t="s">
        <v>104</v>
      </c>
      <c r="Q18" s="46" t="s">
        <v>105</v>
      </c>
      <c r="R18" s="46" t="s">
        <v>108</v>
      </c>
      <c r="S18" s="57">
        <v>14</v>
      </c>
      <c r="T18" s="47" t="s">
        <v>125</v>
      </c>
    </row>
    <row r="19" spans="1:20" x14ac:dyDescent="0.3">
      <c r="A19" s="15" t="s">
        <v>151</v>
      </c>
      <c r="D19" s="12" t="b">
        <v>1</v>
      </c>
      <c r="N19" s="46" t="s">
        <v>94</v>
      </c>
      <c r="O19" s="46" t="s">
        <v>95</v>
      </c>
      <c r="P19" s="46" t="s">
        <v>104</v>
      </c>
      <c r="Q19" s="46" t="s">
        <v>105</v>
      </c>
      <c r="R19" s="46" t="s">
        <v>109</v>
      </c>
      <c r="S19" s="57">
        <v>15</v>
      </c>
      <c r="T19" s="47" t="s">
        <v>125</v>
      </c>
    </row>
    <row r="20" spans="1:20" x14ac:dyDescent="0.3">
      <c r="B20" s="15" t="s">
        <v>155</v>
      </c>
      <c r="D20" s="12" t="b">
        <v>0</v>
      </c>
      <c r="N20" s="46" t="s">
        <v>94</v>
      </c>
      <c r="O20" s="46" t="s">
        <v>95</v>
      </c>
      <c r="P20" s="46" t="s">
        <v>104</v>
      </c>
      <c r="Q20" s="46" t="s">
        <v>105</v>
      </c>
      <c r="R20" s="46" t="s">
        <v>110</v>
      </c>
      <c r="S20" s="57">
        <v>16</v>
      </c>
      <c r="T20" s="47" t="s">
        <v>125</v>
      </c>
    </row>
    <row r="21" spans="1:20" x14ac:dyDescent="0.3">
      <c r="B21" s="15" t="s">
        <v>153</v>
      </c>
      <c r="N21" s="46" t="s">
        <v>94</v>
      </c>
      <c r="O21" s="46" t="s">
        <v>95</v>
      </c>
      <c r="P21" s="46" t="s">
        <v>104</v>
      </c>
      <c r="Q21" s="46" t="s">
        <v>105</v>
      </c>
      <c r="R21" s="46" t="s">
        <v>111</v>
      </c>
      <c r="S21" s="57">
        <v>17</v>
      </c>
      <c r="T21" s="47" t="s">
        <v>125</v>
      </c>
    </row>
    <row r="22" spans="1:20" x14ac:dyDescent="0.3">
      <c r="B22" s="15" t="s">
        <v>23</v>
      </c>
      <c r="D22" s="12" t="s">
        <v>80</v>
      </c>
      <c r="N22" s="46" t="s">
        <v>94</v>
      </c>
      <c r="O22" s="46" t="s">
        <v>95</v>
      </c>
      <c r="P22" s="46" t="s">
        <v>104</v>
      </c>
      <c r="Q22" s="46" t="s">
        <v>105</v>
      </c>
      <c r="R22" s="46" t="s">
        <v>112</v>
      </c>
      <c r="S22" s="57">
        <v>18</v>
      </c>
      <c r="T22" s="47" t="s">
        <v>125</v>
      </c>
    </row>
    <row r="23" spans="1:20" x14ac:dyDescent="0.3">
      <c r="B23" s="15" t="s">
        <v>154</v>
      </c>
      <c r="D23" s="12" t="s">
        <v>81</v>
      </c>
      <c r="N23" s="46" t="s">
        <v>94</v>
      </c>
      <c r="O23" s="46" t="s">
        <v>95</v>
      </c>
      <c r="P23" s="46" t="s">
        <v>104</v>
      </c>
      <c r="Q23" s="46" t="s">
        <v>105</v>
      </c>
      <c r="R23" s="46" t="s">
        <v>113</v>
      </c>
      <c r="S23" s="57">
        <v>19</v>
      </c>
      <c r="T23" s="47" t="s">
        <v>125</v>
      </c>
    </row>
    <row r="24" spans="1:20" x14ac:dyDescent="0.3">
      <c r="N24" s="46" t="s">
        <v>94</v>
      </c>
      <c r="O24" s="46" t="s">
        <v>95</v>
      </c>
      <c r="P24" s="46" t="s">
        <v>104</v>
      </c>
      <c r="Q24" s="46" t="s">
        <v>105</v>
      </c>
      <c r="R24" s="46" t="s">
        <v>114</v>
      </c>
      <c r="S24" s="57">
        <v>20</v>
      </c>
      <c r="T24" s="47" t="s">
        <v>125</v>
      </c>
    </row>
    <row r="26" spans="1:20" ht="32.4" x14ac:dyDescent="0.3">
      <c r="D26" s="12" t="s">
        <v>9</v>
      </c>
    </row>
    <row r="27" spans="1:20" ht="32.4" x14ac:dyDescent="0.3">
      <c r="D27" s="12" t="s">
        <v>77</v>
      </c>
    </row>
    <row r="30" spans="1:20" ht="16.8" thickBot="1" x14ac:dyDescent="0.35"/>
    <row r="31" spans="1:20" ht="16.8" thickBot="1" x14ac:dyDescent="0.35">
      <c r="D31" s="31" t="s">
        <v>97</v>
      </c>
    </row>
    <row r="32" spans="1:20" ht="409.6" x14ac:dyDescent="0.3">
      <c r="D32" s="12" t="str">
        <f>報告藍本!H3</f>
        <v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row>
  </sheetData>
  <phoneticPr fontId="1" type="noConversion"/>
  <pageMargins left="0.7" right="0.7" top="0.75" bottom="0.75" header="0.3" footer="0.3"/>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F763-ABD0-4952-B379-7078C9D8DA57}">
  <sheetPr codeName="工作表9"/>
  <dimension ref="A1:B19"/>
  <sheetViews>
    <sheetView workbookViewId="0">
      <selection activeCell="N3" sqref="N3:S17"/>
    </sheetView>
  </sheetViews>
  <sheetFormatPr defaultRowHeight="34.200000000000003" customHeight="1" x14ac:dyDescent="0.3"/>
  <cols>
    <col min="1" max="1" width="8.88671875" style="17"/>
    <col min="2" max="16384" width="8.88671875" style="16"/>
  </cols>
  <sheetData>
    <row r="1" spans="1:2" s="18" customFormat="1" ht="34.200000000000003" customHeight="1" x14ac:dyDescent="0.3">
      <c r="A1" s="18" t="s">
        <v>24</v>
      </c>
      <c r="B1" s="18" t="s">
        <v>3</v>
      </c>
    </row>
    <row r="2" spans="1:2" ht="34.200000000000003" customHeight="1" x14ac:dyDescent="0.3">
      <c r="A2" s="81" t="s">
        <v>134</v>
      </c>
      <c r="B2" s="16" t="s">
        <v>135</v>
      </c>
    </row>
    <row r="3" spans="1:2" ht="34.200000000000003" customHeight="1" x14ac:dyDescent="0.3">
      <c r="A3" s="81"/>
      <c r="B3" s="16" t="s">
        <v>138</v>
      </c>
    </row>
    <row r="4" spans="1:2" ht="34.200000000000003" customHeight="1" x14ac:dyDescent="0.3">
      <c r="A4" s="81"/>
      <c r="B4" s="16" t="s">
        <v>136</v>
      </c>
    </row>
    <row r="5" spans="1:2" ht="34.200000000000003" customHeight="1" x14ac:dyDescent="0.3">
      <c r="A5" s="81"/>
      <c r="B5" s="16" t="s">
        <v>137</v>
      </c>
    </row>
    <row r="6" spans="1:2" ht="34.200000000000003" customHeight="1" x14ac:dyDescent="0.3">
      <c r="A6" s="81" t="s">
        <v>139</v>
      </c>
      <c r="B6" s="16" t="s">
        <v>140</v>
      </c>
    </row>
    <row r="7" spans="1:2" ht="34.200000000000003" customHeight="1" x14ac:dyDescent="0.3">
      <c r="A7" s="81"/>
      <c r="B7" s="16" t="s">
        <v>141</v>
      </c>
    </row>
    <row r="8" spans="1:2" ht="34.200000000000003" customHeight="1" x14ac:dyDescent="0.3">
      <c r="A8" s="81"/>
      <c r="B8" s="16" t="s">
        <v>144</v>
      </c>
    </row>
    <row r="9" spans="1:2" ht="34.200000000000003" customHeight="1" x14ac:dyDescent="0.3">
      <c r="A9" s="81"/>
      <c r="B9" s="16" t="s">
        <v>142</v>
      </c>
    </row>
    <row r="10" spans="1:2" ht="34.200000000000003" customHeight="1" x14ac:dyDescent="0.3">
      <c r="A10" s="81"/>
      <c r="B10" s="16" t="s">
        <v>143</v>
      </c>
    </row>
    <row r="11" spans="1:2" ht="34.200000000000003" customHeight="1" x14ac:dyDescent="0.3">
      <c r="A11" s="81" t="s">
        <v>145</v>
      </c>
      <c r="B11" s="16" t="s">
        <v>150</v>
      </c>
    </row>
    <row r="12" spans="1:2" ht="34.200000000000003" customHeight="1" x14ac:dyDescent="0.3">
      <c r="A12" s="81"/>
      <c r="B12" s="16" t="s">
        <v>147</v>
      </c>
    </row>
    <row r="13" spans="1:2" ht="34.200000000000003" customHeight="1" x14ac:dyDescent="0.3">
      <c r="A13" s="81"/>
      <c r="B13" s="16" t="s">
        <v>148</v>
      </c>
    </row>
    <row r="14" spans="1:2" ht="34.200000000000003" customHeight="1" x14ac:dyDescent="0.3">
      <c r="A14" s="81"/>
      <c r="B14" s="16" t="s">
        <v>149</v>
      </c>
    </row>
    <row r="15" spans="1:2" ht="34.200000000000003" customHeight="1" x14ac:dyDescent="0.3">
      <c r="A15" s="81"/>
      <c r="B15" s="16" t="s">
        <v>146</v>
      </c>
    </row>
    <row r="16" spans="1:2" ht="34.200000000000003" customHeight="1" x14ac:dyDescent="0.3">
      <c r="A16" s="81" t="s">
        <v>151</v>
      </c>
      <c r="B16" s="16" t="s">
        <v>155</v>
      </c>
    </row>
    <row r="17" spans="1:2" ht="34.200000000000003" customHeight="1" x14ac:dyDescent="0.3">
      <c r="A17" s="81"/>
      <c r="B17" s="16" t="s">
        <v>153</v>
      </c>
    </row>
    <row r="18" spans="1:2" ht="34.200000000000003" customHeight="1" x14ac:dyDescent="0.3">
      <c r="A18" s="81"/>
      <c r="B18" s="16" t="s">
        <v>23</v>
      </c>
    </row>
    <row r="19" spans="1:2" ht="34.200000000000003" customHeight="1" x14ac:dyDescent="0.3">
      <c r="A19" s="81"/>
      <c r="B19" s="16" t="s">
        <v>154</v>
      </c>
    </row>
  </sheetData>
  <mergeCells count="4">
    <mergeCell ref="A16:A19"/>
    <mergeCell ref="A11:A15"/>
    <mergeCell ref="A6:A10"/>
    <mergeCell ref="A2:A5"/>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110B3-82FD-4917-98EA-E4562140D71A}">
  <sheetPr codeName="工作表5">
    <tabColor theme="4" tint="-0.249977111117893"/>
  </sheetPr>
  <dimension ref="A1:S17"/>
  <sheetViews>
    <sheetView topLeftCell="D1" workbookViewId="0">
      <selection activeCell="N3" sqref="N3:S17"/>
    </sheetView>
  </sheetViews>
  <sheetFormatPr defaultRowHeight="16.2" x14ac:dyDescent="0.3"/>
  <cols>
    <col min="1" max="2" width="18.5546875" style="51" customWidth="1"/>
    <col min="3" max="3" width="27.77734375" style="51" customWidth="1"/>
    <col min="4" max="4" width="47.88671875" style="51" customWidth="1"/>
    <col min="5" max="5" width="61.109375" style="52" customWidth="1"/>
    <col min="6" max="6" width="18.5546875" hidden="1" customWidth="1"/>
    <col min="8" max="19" width="8.88671875" style="15"/>
  </cols>
  <sheetData>
    <row r="1" spans="1:19" s="25" customFormat="1" ht="20.399999999999999" thickBot="1" x14ac:dyDescent="0.45">
      <c r="A1" s="48" t="s">
        <v>98</v>
      </c>
      <c r="B1" s="49"/>
      <c r="C1" s="49"/>
      <c r="D1" s="49"/>
      <c r="E1" s="50" t="s">
        <v>123</v>
      </c>
      <c r="H1" s="85" t="s">
        <v>121</v>
      </c>
      <c r="I1" s="86"/>
      <c r="J1" s="86"/>
      <c r="K1" s="86"/>
      <c r="L1" s="86"/>
      <c r="M1" s="86"/>
      <c r="N1" s="86"/>
      <c r="O1" s="86"/>
      <c r="P1" s="86"/>
      <c r="Q1" s="86"/>
      <c r="R1" s="86"/>
      <c r="S1" s="87"/>
    </row>
    <row r="2" spans="1:19" ht="16.8" thickBot="1" x14ac:dyDescent="0.35">
      <c r="A2" s="51" t="s">
        <v>21</v>
      </c>
      <c r="B2" s="51" t="s">
        <v>119</v>
      </c>
      <c r="C2" s="51" t="s">
        <v>22</v>
      </c>
      <c r="D2" s="51" t="s">
        <v>116</v>
      </c>
      <c r="E2" s="52" t="s">
        <v>117</v>
      </c>
      <c r="F2" s="10" t="s">
        <v>118</v>
      </c>
      <c r="H2" s="82" t="s">
        <v>122</v>
      </c>
      <c r="I2" s="83"/>
      <c r="J2" s="83"/>
      <c r="K2" s="83"/>
      <c r="L2" s="83"/>
      <c r="M2" s="84"/>
      <c r="N2" s="82" t="s">
        <v>120</v>
      </c>
      <c r="O2" s="83"/>
      <c r="P2" s="83"/>
      <c r="Q2" s="83"/>
      <c r="R2" s="83"/>
      <c r="S2" s="84"/>
    </row>
    <row r="3" spans="1:19" ht="70.8" customHeight="1" x14ac:dyDescent="0.3">
      <c r="A3" s="53"/>
      <c r="B3" s="53">
        <v>1</v>
      </c>
      <c r="C3" s="53" t="str">
        <f>工作底稿!B5</f>
        <v>本公司受理線上使用者申請時，是否依其留存身分資料於確認後提供對應之電子支付帳戶，且各類型帳戶收付額度以定額為限。</v>
      </c>
      <c r="D3" s="53">
        <f>工作底稿!F9</f>
        <v>0</v>
      </c>
      <c r="E3" s="54" t="s">
        <v>171</v>
      </c>
      <c r="F3" s="41" t="str">
        <f>IF(LEN(表格9[[#This Row],[報告內容]])&gt;0,Temporary!T5&amp;Temporary!S5&amp;Temporary!Q5&amp;表格9[[#This Row],[報告內容]],"")</f>
        <v xml:space="preserve">    1.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v>
      </c>
      <c r="H3" s="88" t="str" cm="1">
        <f t="array" ref="H3">_xlfn.TEXTJOIN("",TRUE,"    "&amp;表格9[報告內容])</f>
        <v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I3" s="89"/>
      <c r="J3" s="89"/>
      <c r="K3" s="89"/>
      <c r="L3" s="89"/>
      <c r="M3" s="90"/>
      <c r="N3" s="88" t="str">
        <f>_xlfn.TEXTJOIN(CHAR(10),1,表格9[依輸出內容])</f>
        <v xml:space="preserve">    1.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3.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5.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6.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7.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O3" s="89"/>
      <c r="P3" s="89"/>
      <c r="Q3" s="89"/>
      <c r="R3" s="89"/>
      <c r="S3" s="90"/>
    </row>
    <row r="4" spans="1:19" ht="45" x14ac:dyDescent="0.3">
      <c r="A4" s="53"/>
      <c r="B4" s="53">
        <v>2</v>
      </c>
      <c r="C4" s="53" t="str">
        <f>工作底稿!B6</f>
        <v>本公司線上申請之使用者欲調整交易額度是否符合相關規定。</v>
      </c>
      <c r="D4" s="53">
        <f>工作底稿!F5</f>
        <v>0</v>
      </c>
      <c r="E4" s="54"/>
      <c r="F4" s="41" t="str">
        <f>IF(LEN(表格9[[#This Row],[報告內容]])&gt;0,Temporary!T6&amp;Temporary!S6&amp;Temporary!Q6&amp;表格9[[#This Row],[報告內容]],"")</f>
        <v/>
      </c>
      <c r="H4" s="91"/>
      <c r="I4" s="92"/>
      <c r="J4" s="92"/>
      <c r="K4" s="92"/>
      <c r="L4" s="92"/>
      <c r="M4" s="93"/>
      <c r="N4" s="91"/>
      <c r="O4" s="92"/>
      <c r="P4" s="92"/>
      <c r="Q4" s="92"/>
      <c r="R4" s="92"/>
      <c r="S4" s="93"/>
    </row>
    <row r="5" spans="1:19" ht="409.6" x14ac:dyDescent="0.3">
      <c r="A5" s="53"/>
      <c r="B5" s="53">
        <v>3</v>
      </c>
      <c r="C5" s="53" t="str">
        <f>工作底稿!B7</f>
        <v>使用者之資料是否存入全支付後台管理系統，且使用者收款額度或額度調整等事項是否保留紀錄。</v>
      </c>
      <c r="D5" s="53">
        <f>工作底稿!F7</f>
        <v>0</v>
      </c>
      <c r="E5" s="54" t="s">
        <v>127</v>
      </c>
      <c r="F5" s="41" t="str">
        <f>IF(LEN(表格9[[#This Row],[報告內容]])&gt;0,Temporary!T7&amp;Temporary!S7&amp;Temporary!Q7&amp;表格9[[#This Row],[報告內容]],"")</f>
        <v xml:space="preserve">    3.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v>
      </c>
      <c r="H5" s="91"/>
      <c r="I5" s="92"/>
      <c r="J5" s="92"/>
      <c r="K5" s="92"/>
      <c r="L5" s="92"/>
      <c r="M5" s="93"/>
      <c r="N5" s="91"/>
      <c r="O5" s="92"/>
      <c r="P5" s="92"/>
      <c r="Q5" s="92"/>
      <c r="R5" s="92"/>
      <c r="S5" s="93"/>
    </row>
    <row r="6" spans="1:19" ht="167.4" customHeight="1" x14ac:dyDescent="0.3">
      <c r="A6" s="53"/>
      <c r="B6" s="53">
        <v>4</v>
      </c>
      <c r="C6" s="53" t="str">
        <f>工作底稿!B8</f>
        <v>若使用者之收款額度如有逾越一般管理額度時，是否經過權責主管核准後並保留相關紀錄。</v>
      </c>
      <c r="D6" s="53">
        <f>工作底稿!F6</f>
        <v>0</v>
      </c>
      <c r="E6" s="54"/>
      <c r="F6" s="41" t="str">
        <f>IF(LEN(表格9[[#This Row],[報告內容]])&gt;0,Temporary!T8&amp;Temporary!S8&amp;Temporary!Q8&amp;表格9[[#This Row],[報告內容]],"")</f>
        <v/>
      </c>
      <c r="H6" s="91"/>
      <c r="I6" s="92"/>
      <c r="J6" s="92"/>
      <c r="K6" s="92"/>
      <c r="L6" s="92"/>
      <c r="M6" s="93"/>
      <c r="N6" s="91"/>
      <c r="O6" s="92"/>
      <c r="P6" s="92"/>
      <c r="Q6" s="92"/>
      <c r="R6" s="92"/>
      <c r="S6" s="93"/>
    </row>
    <row r="7" spans="1:19" ht="263.39999999999998" customHeight="1" x14ac:dyDescent="0.3">
      <c r="A7" s="53"/>
      <c r="B7" s="53">
        <v>5</v>
      </c>
      <c r="C7" s="53" t="str">
        <f>工作底稿!B9</f>
        <v>本公司通路商業務模式及資料是否有列表控管。</v>
      </c>
      <c r="D7" s="53">
        <f>工作底稿!F8</f>
        <v>0</v>
      </c>
      <c r="E7" s="54" t="s">
        <v>128</v>
      </c>
      <c r="F7" s="41" t="str">
        <f>IF(LEN(表格9[[#This Row],[報告內容]])&gt;0,Temporary!T9&amp;Temporary!S9&amp;Temporary!Q9&amp;表格9[[#This Row],[報告內容]],"")</f>
        <v xml:space="preserve">    5.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v>
      </c>
      <c r="H7" s="91"/>
      <c r="I7" s="92"/>
      <c r="J7" s="92"/>
      <c r="K7" s="92"/>
      <c r="L7" s="92"/>
      <c r="M7" s="93"/>
      <c r="N7" s="91"/>
      <c r="O7" s="92"/>
      <c r="P7" s="92"/>
      <c r="Q7" s="92"/>
      <c r="R7" s="92"/>
      <c r="S7" s="93"/>
    </row>
    <row r="8" spans="1:19" ht="155.4" customHeight="1" x14ac:dyDescent="0.3">
      <c r="A8" s="53"/>
      <c r="B8" s="53">
        <v>6</v>
      </c>
      <c r="C8" s="53" t="str">
        <f>工作底稿!B10</f>
        <v>是否定期評估通路商效益，且評估後若有未符合預期者是否提出改善方式。</v>
      </c>
      <c r="D8" s="53">
        <f>工作底稿!F10</f>
        <v>0</v>
      </c>
      <c r="E8" s="59" t="s">
        <v>126</v>
      </c>
      <c r="F8" s="41" t="str">
        <f>IF(LEN(表格9[[#This Row],[報告內容]])&gt;0,Temporary!T10&amp;Temporary!S10&amp;Temporary!Q10&amp;表格9[[#This Row],[報告內容]],"")</f>
        <v xml:space="preserve">    6.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v>
      </c>
      <c r="H8" s="91"/>
      <c r="I8" s="92"/>
      <c r="J8" s="92"/>
      <c r="K8" s="92"/>
      <c r="L8" s="92"/>
      <c r="M8" s="93"/>
      <c r="N8" s="91"/>
      <c r="O8" s="92"/>
      <c r="P8" s="92"/>
      <c r="Q8" s="92"/>
      <c r="R8" s="92"/>
      <c r="S8" s="93"/>
    </row>
    <row r="9" spans="1:19" ht="189.6" customHeight="1" x14ac:dyDescent="0.3">
      <c r="A9" s="53"/>
      <c r="B9" s="53">
        <v>7</v>
      </c>
      <c r="C9" s="53" t="str">
        <f>工作底稿!B11</f>
        <v>是否適時審視各類通路商費率等條件以保障本公司權益。</v>
      </c>
      <c r="D9" s="53">
        <f>工作底稿!F11</f>
        <v>0</v>
      </c>
      <c r="E9" s="54" t="s">
        <v>131</v>
      </c>
      <c r="F9" s="41" t="str">
        <f>IF(LEN(表格9[[#This Row],[報告內容]])&gt;0,Temporary!T11&amp;Temporary!S11&amp;Temporary!Q11&amp;表格9[[#This Row],[報告內容]],"")</f>
        <v xml:space="preserve">    7.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H9" s="91"/>
      <c r="I9" s="92"/>
      <c r="J9" s="92"/>
      <c r="K9" s="92"/>
      <c r="L9" s="92"/>
      <c r="M9" s="93"/>
      <c r="N9" s="91"/>
      <c r="O9" s="92"/>
      <c r="P9" s="92"/>
      <c r="Q9" s="92"/>
      <c r="R9" s="92"/>
      <c r="S9" s="93"/>
    </row>
    <row r="10" spans="1:19" ht="16.2" customHeight="1" x14ac:dyDescent="0.3">
      <c r="H10" s="91"/>
      <c r="I10" s="92"/>
      <c r="J10" s="92"/>
      <c r="K10" s="92"/>
      <c r="L10" s="92"/>
      <c r="M10" s="93"/>
      <c r="N10" s="91"/>
      <c r="O10" s="92"/>
      <c r="P10" s="92"/>
      <c r="Q10" s="92"/>
      <c r="R10" s="92"/>
      <c r="S10" s="93"/>
    </row>
    <row r="11" spans="1:19" ht="16.2" customHeight="1" x14ac:dyDescent="0.3">
      <c r="H11" s="91"/>
      <c r="I11" s="92"/>
      <c r="J11" s="92"/>
      <c r="K11" s="92"/>
      <c r="L11" s="92"/>
      <c r="M11" s="93"/>
      <c r="N11" s="91"/>
      <c r="O11" s="92"/>
      <c r="P11" s="92"/>
      <c r="Q11" s="92"/>
      <c r="R11" s="92"/>
      <c r="S11" s="93"/>
    </row>
    <row r="12" spans="1:19" ht="16.2" customHeight="1" x14ac:dyDescent="0.3">
      <c r="H12" s="91"/>
      <c r="I12" s="92"/>
      <c r="J12" s="92"/>
      <c r="K12" s="92"/>
      <c r="L12" s="92"/>
      <c r="M12" s="93"/>
      <c r="N12" s="91"/>
      <c r="O12" s="92"/>
      <c r="P12" s="92"/>
      <c r="Q12" s="92"/>
      <c r="R12" s="92"/>
      <c r="S12" s="93"/>
    </row>
    <row r="13" spans="1:19" ht="16.2" customHeight="1" x14ac:dyDescent="0.3">
      <c r="H13" s="91"/>
      <c r="I13" s="92"/>
      <c r="J13" s="92"/>
      <c r="K13" s="92"/>
      <c r="L13" s="92"/>
      <c r="M13" s="93"/>
      <c r="N13" s="91"/>
      <c r="O13" s="92"/>
      <c r="P13" s="92"/>
      <c r="Q13" s="92"/>
      <c r="R13" s="92"/>
      <c r="S13" s="93"/>
    </row>
    <row r="14" spans="1:19" ht="15" x14ac:dyDescent="0.3">
      <c r="H14" s="91"/>
      <c r="I14" s="92"/>
      <c r="J14" s="92"/>
      <c r="K14" s="92"/>
      <c r="L14" s="92"/>
      <c r="M14" s="93"/>
      <c r="N14" s="91"/>
      <c r="O14" s="92"/>
      <c r="P14" s="92"/>
      <c r="Q14" s="92"/>
      <c r="R14" s="92"/>
      <c r="S14" s="93"/>
    </row>
    <row r="15" spans="1:19" ht="16.2" customHeight="1" x14ac:dyDescent="0.3">
      <c r="H15" s="91"/>
      <c r="I15" s="92"/>
      <c r="J15" s="92"/>
      <c r="K15" s="92"/>
      <c r="L15" s="92"/>
      <c r="M15" s="93"/>
      <c r="N15" s="91"/>
      <c r="O15" s="92"/>
      <c r="P15" s="92"/>
      <c r="Q15" s="92"/>
      <c r="R15" s="92"/>
      <c r="S15" s="93"/>
    </row>
    <row r="16" spans="1:19" ht="16.2" customHeight="1" x14ac:dyDescent="0.3">
      <c r="H16" s="91"/>
      <c r="I16" s="92"/>
      <c r="J16" s="92"/>
      <c r="K16" s="92"/>
      <c r="L16" s="92"/>
      <c r="M16" s="93"/>
      <c r="N16" s="91"/>
      <c r="O16" s="92"/>
      <c r="P16" s="92"/>
      <c r="Q16" s="92"/>
      <c r="R16" s="92"/>
      <c r="S16" s="93"/>
    </row>
    <row r="17" spans="8:19" ht="16.2" customHeight="1" thickBot="1" x14ac:dyDescent="0.35">
      <c r="H17" s="94"/>
      <c r="I17" s="95"/>
      <c r="J17" s="95"/>
      <c r="K17" s="95"/>
      <c r="L17" s="95"/>
      <c r="M17" s="96"/>
      <c r="N17" s="94"/>
      <c r="O17" s="95"/>
      <c r="P17" s="95"/>
      <c r="Q17" s="95"/>
      <c r="R17" s="95"/>
      <c r="S17" s="96"/>
    </row>
  </sheetData>
  <mergeCells count="5">
    <mergeCell ref="H2:M2"/>
    <mergeCell ref="N2:S2"/>
    <mergeCell ref="H1:S1"/>
    <mergeCell ref="H3:M17"/>
    <mergeCell ref="N3:S17"/>
  </mergeCells>
  <phoneticPr fontId="1" type="noConversion"/>
  <pageMargins left="0.7" right="0.7" top="0.75" bottom="0.75" header="0.3" footer="0.3"/>
  <pageSetup paperSize="9" orientation="portrait"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32B67-BC3A-4DA6-B56E-0BEE01AAADA9}">
  <sheetPr codeName="工作表4">
    <tabColor theme="9"/>
    <pageSetUpPr fitToPage="1"/>
  </sheetPr>
  <dimension ref="A1:C26"/>
  <sheetViews>
    <sheetView topLeftCell="A3" workbookViewId="0">
      <selection activeCell="B9" sqref="B9"/>
    </sheetView>
  </sheetViews>
  <sheetFormatPr defaultColWidth="6.109375" defaultRowHeight="16.2" x14ac:dyDescent="0.3"/>
  <cols>
    <col min="1" max="1" width="11.33203125" style="9" customWidth="1"/>
    <col min="2" max="2" width="85" style="9" customWidth="1"/>
    <col min="3" max="3" width="74.21875" style="8" customWidth="1"/>
    <col min="4" max="16384" width="6.109375" style="9"/>
  </cols>
  <sheetData>
    <row r="1" spans="1:3" ht="19.8" x14ac:dyDescent="0.4">
      <c r="A1" s="6" t="s">
        <v>156</v>
      </c>
      <c r="B1" s="6"/>
    </row>
    <row r="2" spans="1:3" ht="19.8" x14ac:dyDescent="0.4">
      <c r="A2" s="6" t="s">
        <v>74</v>
      </c>
      <c r="B2" s="6"/>
    </row>
    <row r="3" spans="1:3" ht="19.8" x14ac:dyDescent="0.4">
      <c r="A3" s="6" t="s">
        <v>75</v>
      </c>
      <c r="B3" s="6"/>
    </row>
    <row r="4" spans="1:3" ht="19.8" x14ac:dyDescent="0.4">
      <c r="A4" s="6" t="s">
        <v>73</v>
      </c>
      <c r="B4" s="6"/>
    </row>
    <row r="5" spans="1:3" ht="19.8" x14ac:dyDescent="0.4">
      <c r="A5" s="6" t="s">
        <v>176</v>
      </c>
      <c r="B5" s="6"/>
    </row>
    <row r="6" spans="1:3" ht="52.2" customHeight="1" x14ac:dyDescent="0.3">
      <c r="A6" s="98" t="s">
        <v>20</v>
      </c>
      <c r="B6" s="99"/>
    </row>
    <row r="7" spans="1:3" s="71" customFormat="1" ht="15" customHeight="1" x14ac:dyDescent="0.3">
      <c r="A7" s="100" t="s">
        <v>19</v>
      </c>
      <c r="B7" s="101"/>
      <c r="C7" s="101"/>
    </row>
    <row r="8" spans="1:3" s="76" customFormat="1" x14ac:dyDescent="0.3">
      <c r="A8" s="75" t="s">
        <v>24</v>
      </c>
      <c r="B8" s="18" t="s">
        <v>3</v>
      </c>
      <c r="C8" s="19"/>
    </row>
    <row r="9" spans="1:3" s="77" customFormat="1" ht="48.6" customHeight="1" x14ac:dyDescent="0.3">
      <c r="A9" s="97" t="s">
        <v>134</v>
      </c>
      <c r="B9" s="16" t="s">
        <v>135</v>
      </c>
      <c r="C9" s="19"/>
    </row>
    <row r="10" spans="1:3" s="77" customFormat="1" ht="48.6" customHeight="1" x14ac:dyDescent="0.3">
      <c r="A10" s="97"/>
      <c r="B10" s="16" t="s">
        <v>138</v>
      </c>
      <c r="C10" s="19"/>
    </row>
    <row r="11" spans="1:3" s="77" customFormat="1" ht="48.6" customHeight="1" x14ac:dyDescent="0.3">
      <c r="A11" s="97"/>
      <c r="B11" s="16" t="s">
        <v>136</v>
      </c>
      <c r="C11" s="19"/>
    </row>
    <row r="12" spans="1:3" s="77" customFormat="1" ht="48.6" customHeight="1" x14ac:dyDescent="0.3">
      <c r="A12" s="97"/>
      <c r="B12" s="16" t="s">
        <v>137</v>
      </c>
      <c r="C12" s="19"/>
    </row>
    <row r="13" spans="1:3" s="77" customFormat="1" ht="46.8" customHeight="1" x14ac:dyDescent="0.3">
      <c r="A13" s="97" t="s">
        <v>139</v>
      </c>
      <c r="B13" s="16" t="s">
        <v>140</v>
      </c>
      <c r="C13" s="19"/>
    </row>
    <row r="14" spans="1:3" s="77" customFormat="1" ht="46.8" customHeight="1" x14ac:dyDescent="0.3">
      <c r="A14" s="97"/>
      <c r="B14" s="16" t="s">
        <v>141</v>
      </c>
      <c r="C14" s="19"/>
    </row>
    <row r="15" spans="1:3" s="77" customFormat="1" ht="46.8" customHeight="1" x14ac:dyDescent="0.3">
      <c r="A15" s="97"/>
      <c r="B15" s="16" t="s">
        <v>144</v>
      </c>
      <c r="C15" s="19"/>
    </row>
    <row r="16" spans="1:3" s="77" customFormat="1" ht="46.8" customHeight="1" x14ac:dyDescent="0.3">
      <c r="A16" s="97"/>
      <c r="B16" s="16" t="s">
        <v>142</v>
      </c>
      <c r="C16" s="19"/>
    </row>
    <row r="17" spans="1:3" s="77" customFormat="1" ht="46.8" customHeight="1" x14ac:dyDescent="0.3">
      <c r="A17" s="97"/>
      <c r="B17" s="16" t="s">
        <v>143</v>
      </c>
      <c r="C17" s="19"/>
    </row>
    <row r="18" spans="1:3" s="77" customFormat="1" ht="48.6" customHeight="1" x14ac:dyDescent="0.3">
      <c r="A18" s="97" t="s">
        <v>145</v>
      </c>
      <c r="B18" s="16" t="s">
        <v>150</v>
      </c>
      <c r="C18" s="19"/>
    </row>
    <row r="19" spans="1:3" s="77" customFormat="1" ht="48.6" customHeight="1" x14ac:dyDescent="0.3">
      <c r="A19" s="97"/>
      <c r="B19" s="16" t="s">
        <v>147</v>
      </c>
      <c r="C19" s="19"/>
    </row>
    <row r="20" spans="1:3" s="77" customFormat="1" ht="48.6" customHeight="1" x14ac:dyDescent="0.3">
      <c r="A20" s="97"/>
      <c r="B20" s="16" t="s">
        <v>148</v>
      </c>
      <c r="C20" s="19"/>
    </row>
    <row r="21" spans="1:3" s="77" customFormat="1" ht="48.6" customHeight="1" x14ac:dyDescent="0.3">
      <c r="A21" s="97"/>
      <c r="B21" s="16" t="s">
        <v>149</v>
      </c>
      <c r="C21" s="19"/>
    </row>
    <row r="22" spans="1:3" s="77" customFormat="1" ht="48.6" customHeight="1" x14ac:dyDescent="0.3">
      <c r="A22" s="97"/>
      <c r="B22" s="16" t="s">
        <v>146</v>
      </c>
      <c r="C22" s="19"/>
    </row>
    <row r="23" spans="1:3" s="77" customFormat="1" ht="47.4" customHeight="1" x14ac:dyDescent="0.3">
      <c r="A23" s="97" t="s">
        <v>151</v>
      </c>
      <c r="B23" s="16" t="s">
        <v>155</v>
      </c>
      <c r="C23" s="19"/>
    </row>
    <row r="24" spans="1:3" s="77" customFormat="1" ht="47.4" customHeight="1" x14ac:dyDescent="0.3">
      <c r="A24" s="97"/>
      <c r="B24" s="16" t="s">
        <v>153</v>
      </c>
      <c r="C24" s="19"/>
    </row>
    <row r="25" spans="1:3" s="77" customFormat="1" ht="47.4" customHeight="1" x14ac:dyDescent="0.3">
      <c r="A25" s="97"/>
      <c r="B25" s="16" t="s">
        <v>23</v>
      </c>
      <c r="C25" s="19"/>
    </row>
    <row r="26" spans="1:3" s="77" customFormat="1" ht="47.4" customHeight="1" x14ac:dyDescent="0.3">
      <c r="A26" s="97"/>
      <c r="B26" s="16" t="s">
        <v>154</v>
      </c>
      <c r="C26" s="19"/>
    </row>
  </sheetData>
  <mergeCells count="6">
    <mergeCell ref="A18:A22"/>
    <mergeCell ref="A23:A26"/>
    <mergeCell ref="A6:B6"/>
    <mergeCell ref="A7:C7"/>
    <mergeCell ref="A9:A12"/>
    <mergeCell ref="A13:A17"/>
  </mergeCells>
  <phoneticPr fontId="1" type="noConversion"/>
  <pageMargins left="0.23622047244094491" right="0.23622047244094491" top="0.35433070866141736" bottom="0.35433070866141736" header="0.31496062992125984" footer="0.31496062992125984"/>
  <pageSetup paperSize="9" scale="8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9"/>
    <pageSetUpPr fitToPage="1"/>
  </sheetPr>
  <dimension ref="A1:G22"/>
  <sheetViews>
    <sheetView workbookViewId="0">
      <selection activeCell="A4" sqref="A4:B22"/>
    </sheetView>
  </sheetViews>
  <sheetFormatPr defaultRowHeight="16.2" x14ac:dyDescent="0.3"/>
  <cols>
    <col min="1" max="1" width="11.88671875" style="12" customWidth="1"/>
    <col min="2" max="2" width="66.21875" style="12" customWidth="1"/>
    <col min="3" max="3" width="9.44140625" bestFit="1" customWidth="1"/>
    <col min="4" max="4" width="7"/>
    <col min="5" max="5" width="29.33203125" customWidth="1"/>
    <col min="6" max="6" width="43" customWidth="1"/>
    <col min="7" max="7" width="18.109375" customWidth="1"/>
  </cols>
  <sheetData>
    <row r="1" spans="1:7" ht="22.2" customHeight="1" x14ac:dyDescent="0.3">
      <c r="A1" s="11"/>
      <c r="B1" s="11"/>
      <c r="C1" s="1" t="s">
        <v>75</v>
      </c>
      <c r="D1" s="1"/>
      <c r="E1" s="1"/>
      <c r="F1" s="1" t="s">
        <v>76</v>
      </c>
    </row>
    <row r="2" spans="1:7" ht="22.2" customHeight="1" x14ac:dyDescent="0.3">
      <c r="A2" s="11"/>
      <c r="B2" s="11"/>
      <c r="C2" s="1" t="s">
        <v>74</v>
      </c>
      <c r="D2" s="1"/>
      <c r="E2" s="1"/>
      <c r="F2" s="1" t="s">
        <v>73</v>
      </c>
      <c r="G2" s="1"/>
    </row>
    <row r="3" spans="1:7" ht="18" customHeight="1" x14ac:dyDescent="0.3">
      <c r="A3" s="13"/>
      <c r="B3" s="13"/>
      <c r="C3" s="103" t="s">
        <v>4</v>
      </c>
      <c r="D3" s="103"/>
      <c r="E3" s="103"/>
      <c r="F3" s="102" t="s">
        <v>6</v>
      </c>
      <c r="G3" s="102" t="s">
        <v>0</v>
      </c>
    </row>
    <row r="4" spans="1:7" ht="35.4" customHeight="1" x14ac:dyDescent="0.3">
      <c r="A4" s="18" t="s">
        <v>24</v>
      </c>
      <c r="B4" s="18" t="s">
        <v>3</v>
      </c>
      <c r="C4" s="2" t="s">
        <v>1</v>
      </c>
      <c r="D4" s="2" t="s">
        <v>2</v>
      </c>
      <c r="E4" s="2" t="s">
        <v>5</v>
      </c>
      <c r="F4" s="102"/>
      <c r="G4" s="102"/>
    </row>
    <row r="5" spans="1:7" ht="48" customHeight="1" x14ac:dyDescent="0.3">
      <c r="A5" s="81" t="s">
        <v>134</v>
      </c>
      <c r="B5" s="16" t="s">
        <v>135</v>
      </c>
      <c r="C5" s="20"/>
      <c r="D5" s="21"/>
      <c r="E5" s="22"/>
      <c r="F5" s="20"/>
      <c r="G5" s="3"/>
    </row>
    <row r="6" spans="1:7" ht="48" customHeight="1" x14ac:dyDescent="0.3">
      <c r="A6" s="81"/>
      <c r="B6" s="16" t="s">
        <v>138</v>
      </c>
      <c r="C6" s="20"/>
      <c r="D6" s="21"/>
      <c r="E6" s="22"/>
      <c r="F6" s="20"/>
      <c r="G6" s="3"/>
    </row>
    <row r="7" spans="1:7" ht="48" customHeight="1" x14ac:dyDescent="0.3">
      <c r="A7" s="81"/>
      <c r="B7" s="16" t="s">
        <v>136</v>
      </c>
      <c r="C7" s="20"/>
      <c r="D7" s="21"/>
      <c r="E7" s="22"/>
      <c r="F7" s="20"/>
      <c r="G7" s="3"/>
    </row>
    <row r="8" spans="1:7" ht="48" customHeight="1" x14ac:dyDescent="0.3">
      <c r="A8" s="81"/>
      <c r="B8" s="16" t="s">
        <v>137</v>
      </c>
      <c r="C8" s="20"/>
      <c r="D8" s="21"/>
      <c r="E8" s="22"/>
      <c r="F8" s="20"/>
      <c r="G8" s="3"/>
    </row>
    <row r="9" spans="1:7" ht="57" customHeight="1" x14ac:dyDescent="0.3">
      <c r="A9" s="81" t="s">
        <v>139</v>
      </c>
      <c r="B9" s="16" t="s">
        <v>140</v>
      </c>
      <c r="C9" s="20"/>
      <c r="D9" s="20"/>
      <c r="E9" s="20"/>
      <c r="F9" s="20"/>
      <c r="G9" s="3"/>
    </row>
    <row r="10" spans="1:7" ht="57" customHeight="1" x14ac:dyDescent="0.3">
      <c r="A10" s="81"/>
      <c r="B10" s="16" t="s">
        <v>141</v>
      </c>
      <c r="C10" s="20"/>
      <c r="D10" s="20"/>
      <c r="E10" s="20"/>
      <c r="F10" s="20"/>
      <c r="G10" s="3"/>
    </row>
    <row r="11" spans="1:7" ht="57" customHeight="1" x14ac:dyDescent="0.3">
      <c r="A11" s="81"/>
      <c r="B11" s="16" t="s">
        <v>144</v>
      </c>
      <c r="C11" s="20"/>
      <c r="D11" s="20"/>
      <c r="E11" s="20"/>
      <c r="F11" s="20"/>
      <c r="G11" s="3"/>
    </row>
    <row r="12" spans="1:7" ht="57" customHeight="1" x14ac:dyDescent="0.3">
      <c r="A12" s="81"/>
      <c r="B12" s="16" t="s">
        <v>142</v>
      </c>
      <c r="C12" s="72"/>
      <c r="D12" s="72"/>
      <c r="E12" s="72"/>
      <c r="F12" s="72"/>
      <c r="G12" s="72"/>
    </row>
    <row r="13" spans="1:7" ht="57" customHeight="1" x14ac:dyDescent="0.3">
      <c r="A13" s="81"/>
      <c r="B13" s="16" t="s">
        <v>143</v>
      </c>
      <c r="C13" s="72"/>
      <c r="D13" s="72"/>
      <c r="E13" s="72"/>
      <c r="F13" s="72"/>
      <c r="G13" s="72"/>
    </row>
    <row r="14" spans="1:7" ht="49.8" customHeight="1" x14ac:dyDescent="0.3">
      <c r="A14" s="81" t="s">
        <v>145</v>
      </c>
      <c r="B14" s="16" t="s">
        <v>150</v>
      </c>
      <c r="C14" s="72"/>
      <c r="D14" s="72"/>
      <c r="E14" s="72"/>
      <c r="F14" s="72"/>
      <c r="G14" s="72"/>
    </row>
    <row r="15" spans="1:7" ht="49.8" customHeight="1" x14ac:dyDescent="0.3">
      <c r="A15" s="81"/>
      <c r="B15" s="16" t="s">
        <v>147</v>
      </c>
      <c r="C15" s="72"/>
      <c r="D15" s="72"/>
      <c r="E15" s="72"/>
      <c r="F15" s="72"/>
      <c r="G15" s="72"/>
    </row>
    <row r="16" spans="1:7" ht="49.8" customHeight="1" x14ac:dyDescent="0.3">
      <c r="A16" s="81"/>
      <c r="B16" s="16" t="s">
        <v>148</v>
      </c>
      <c r="C16" s="72"/>
      <c r="D16" s="72"/>
      <c r="E16" s="72"/>
      <c r="F16" s="72"/>
      <c r="G16" s="72"/>
    </row>
    <row r="17" spans="1:7" ht="49.8" customHeight="1" x14ac:dyDescent="0.3">
      <c r="A17" s="81"/>
      <c r="B17" s="16" t="s">
        <v>149</v>
      </c>
      <c r="C17" s="72"/>
      <c r="D17" s="72"/>
      <c r="E17" s="72"/>
      <c r="F17" s="72"/>
      <c r="G17" s="72"/>
    </row>
    <row r="18" spans="1:7" ht="49.8" customHeight="1" x14ac:dyDescent="0.3">
      <c r="A18" s="81"/>
      <c r="B18" s="16" t="s">
        <v>146</v>
      </c>
      <c r="C18" s="72"/>
      <c r="D18" s="72"/>
      <c r="E18" s="72"/>
      <c r="F18" s="72"/>
      <c r="G18" s="72"/>
    </row>
    <row r="19" spans="1:7" ht="51.6" customHeight="1" x14ac:dyDescent="0.3">
      <c r="A19" s="81" t="s">
        <v>151</v>
      </c>
      <c r="B19" s="16" t="s">
        <v>155</v>
      </c>
      <c r="C19" s="72"/>
      <c r="D19" s="72"/>
      <c r="E19" s="72"/>
      <c r="F19" s="72"/>
      <c r="G19" s="72"/>
    </row>
    <row r="20" spans="1:7" ht="51.6" customHeight="1" x14ac:dyDescent="0.3">
      <c r="A20" s="81"/>
      <c r="B20" s="16" t="s">
        <v>153</v>
      </c>
      <c r="C20" s="72"/>
      <c r="D20" s="72"/>
      <c r="E20" s="72"/>
      <c r="F20" s="72"/>
      <c r="G20" s="72"/>
    </row>
    <row r="21" spans="1:7" ht="51.6" customHeight="1" x14ac:dyDescent="0.3">
      <c r="A21" s="81"/>
      <c r="B21" s="16" t="s">
        <v>23</v>
      </c>
      <c r="C21" s="72"/>
      <c r="D21" s="72"/>
      <c r="E21" s="72"/>
      <c r="F21" s="72"/>
      <c r="G21" s="72"/>
    </row>
    <row r="22" spans="1:7" ht="51.6" customHeight="1" x14ac:dyDescent="0.3">
      <c r="A22" s="81"/>
      <c r="B22" s="16" t="s">
        <v>154</v>
      </c>
      <c r="C22" s="72"/>
      <c r="D22" s="72"/>
      <c r="E22" s="72"/>
      <c r="F22" s="72"/>
      <c r="G22" s="72"/>
    </row>
  </sheetData>
  <mergeCells count="7">
    <mergeCell ref="A14:A18"/>
    <mergeCell ref="A19:A22"/>
    <mergeCell ref="G3:G4"/>
    <mergeCell ref="C3:E3"/>
    <mergeCell ref="F3:F4"/>
    <mergeCell ref="A5:A8"/>
    <mergeCell ref="A9:A13"/>
  </mergeCells>
  <phoneticPr fontId="1" type="noConversion"/>
  <printOptions horizontalCentered="1" verticalCentered="1"/>
  <pageMargins left="0.78740157480314965" right="0.78740157480314965" top="0.6692913385826772" bottom="0.6692913385826772" header="0.51181102362204722" footer="0.51181102362204722"/>
  <pageSetup paperSize="9" scale="70" fitToHeight="0" orientation="landscape" r:id="rId1"/>
  <headerFooter>
    <oddHeader>&amp;C&amp;"標楷體,標準"&amp;14全支付電子支付股份有限公司
查核工作底稿</oddHeader>
    <oddFooter xml:space="preserve">&amp;C &amp;P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7FC14-7546-4AAD-8BEA-F16EBF398100}">
  <sheetPr codeName="工作表3">
    <tabColor theme="9"/>
    <pageSetUpPr fitToPage="1"/>
  </sheetPr>
  <dimension ref="B1:E35"/>
  <sheetViews>
    <sheetView tabSelected="1" view="pageBreakPreview" topLeftCell="A18" zoomScale="55" zoomScaleNormal="55" zoomScaleSheetLayoutView="55" workbookViewId="0">
      <selection activeCell="C39" sqref="C39"/>
    </sheetView>
  </sheetViews>
  <sheetFormatPr defaultColWidth="108" defaultRowHeight="15" x14ac:dyDescent="0.3"/>
  <cols>
    <col min="1" max="1" width="3.33203125" style="63" customWidth="1"/>
    <col min="2" max="2" width="14.21875" style="63" customWidth="1"/>
    <col min="3" max="3" width="108" style="63"/>
    <col min="4" max="4" width="142.33203125" style="63" customWidth="1"/>
    <col min="5" max="5" width="3.33203125" style="63" customWidth="1"/>
    <col min="6" max="16384" width="108" style="63"/>
  </cols>
  <sheetData>
    <row r="1" spans="2:4" ht="109.95" customHeight="1" x14ac:dyDescent="0.3"/>
    <row r="2" spans="2:4" ht="235.8" customHeight="1" x14ac:dyDescent="1.8">
      <c r="B2" s="123" t="s">
        <v>79</v>
      </c>
      <c r="C2" s="123"/>
      <c r="D2" s="123"/>
    </row>
    <row r="3" spans="2:4" ht="331.2" customHeight="1" x14ac:dyDescent="0.3">
      <c r="B3" s="124" t="s">
        <v>80</v>
      </c>
      <c r="C3" s="124"/>
      <c r="D3" s="124"/>
    </row>
    <row r="4" spans="2:4" ht="28.2" x14ac:dyDescent="0.3">
      <c r="B4" s="109" t="s">
        <v>75</v>
      </c>
      <c r="C4" s="109"/>
      <c r="D4" s="60"/>
    </row>
    <row r="5" spans="2:4" ht="28.2" x14ac:dyDescent="0.3">
      <c r="B5" s="109" t="s">
        <v>177</v>
      </c>
      <c r="C5" s="109"/>
      <c r="D5" s="60"/>
    </row>
    <row r="6" spans="2:4" ht="28.2" x14ac:dyDescent="0.3">
      <c r="B6" s="109" t="s">
        <v>76</v>
      </c>
      <c r="C6" s="109"/>
      <c r="D6" s="60"/>
    </row>
    <row r="7" spans="2:4" ht="28.8" customHeight="1" thickBot="1" x14ac:dyDescent="0.35">
      <c r="B7" s="108" t="s">
        <v>73</v>
      </c>
      <c r="C7" s="108"/>
      <c r="D7" s="64"/>
    </row>
    <row r="8" spans="2:4" ht="28.8" thickTop="1" x14ac:dyDescent="0.3">
      <c r="C8" s="62" t="s">
        <v>7</v>
      </c>
      <c r="D8" s="62"/>
    </row>
    <row r="9" spans="2:4" ht="28.2" x14ac:dyDescent="0.3">
      <c r="C9" s="125" t="s">
        <v>178</v>
      </c>
      <c r="D9" s="125"/>
    </row>
    <row r="10" spans="2:4" ht="28.2" x14ac:dyDescent="0.3">
      <c r="C10" s="125" t="s">
        <v>129</v>
      </c>
      <c r="D10" s="125"/>
    </row>
    <row r="11" spans="2:4" ht="25.8" customHeight="1" thickBot="1" x14ac:dyDescent="0.35">
      <c r="C11" s="70"/>
      <c r="D11" s="70"/>
    </row>
    <row r="12" spans="2:4" s="62" customFormat="1" ht="28.2" x14ac:dyDescent="0.3">
      <c r="B12" s="110" t="s">
        <v>157</v>
      </c>
      <c r="C12" s="111"/>
      <c r="D12" s="112"/>
    </row>
    <row r="13" spans="2:4" s="62" customFormat="1" ht="28.8" thickBot="1" x14ac:dyDescent="0.35">
      <c r="B13" s="113" t="s">
        <v>74</v>
      </c>
      <c r="C13" s="114"/>
      <c r="D13" s="115"/>
    </row>
    <row r="14" spans="2:4" s="62" customFormat="1" ht="28.8" customHeight="1" thickBot="1" x14ac:dyDescent="0.35">
      <c r="B14" s="116" t="s">
        <v>156</v>
      </c>
      <c r="C14" s="117"/>
      <c r="D14" s="65" t="s">
        <v>74</v>
      </c>
    </row>
    <row r="15" spans="2:4" s="62" customFormat="1" ht="28.8" thickBot="1" x14ac:dyDescent="0.35">
      <c r="B15" s="113" t="s">
        <v>8</v>
      </c>
      <c r="C15" s="114"/>
      <c r="D15" s="115"/>
    </row>
    <row r="16" spans="2:4" s="62" customFormat="1" ht="28.2" x14ac:dyDescent="0.3">
      <c r="B16" s="66" t="s">
        <v>132</v>
      </c>
      <c r="C16" s="67" t="s">
        <v>133</v>
      </c>
      <c r="D16" s="68"/>
    </row>
    <row r="17" spans="2:5" s="62" customFormat="1" ht="88.8" customHeight="1" x14ac:dyDescent="0.3">
      <c r="B17" s="118" t="s">
        <v>173</v>
      </c>
      <c r="C17" s="109"/>
      <c r="D17" s="119"/>
      <c r="E17" s="60"/>
    </row>
    <row r="18" spans="2:5" s="62" customFormat="1" ht="409.2" customHeight="1" x14ac:dyDescent="0.3">
      <c r="B18" s="118" t="s">
        <v>174</v>
      </c>
      <c r="C18" s="109"/>
      <c r="D18" s="119"/>
      <c r="E18" s="60"/>
    </row>
    <row r="19" spans="2:5" s="62" customFormat="1" ht="43.8" customHeight="1" x14ac:dyDescent="0.3">
      <c r="B19" s="118"/>
      <c r="C19" s="109"/>
      <c r="D19" s="119"/>
    </row>
    <row r="20" spans="2:5" s="62" customFormat="1" ht="28.2" x14ac:dyDescent="0.3">
      <c r="B20" s="120" t="s">
        <v>160</v>
      </c>
      <c r="C20" s="121"/>
      <c r="D20" s="122"/>
    </row>
    <row r="21" spans="2:5" s="62" customFormat="1" ht="28.2" x14ac:dyDescent="0.3">
      <c r="B21" s="61" t="s">
        <v>161</v>
      </c>
      <c r="D21" s="74"/>
    </row>
    <row r="22" spans="2:5" s="62" customFormat="1" ht="28.2" x14ac:dyDescent="0.3">
      <c r="B22" s="61" t="s">
        <v>162</v>
      </c>
      <c r="D22" s="74"/>
    </row>
    <row r="23" spans="2:5" s="62" customFormat="1" ht="28.2" x14ac:dyDescent="0.3">
      <c r="B23" s="61" t="s">
        <v>163</v>
      </c>
      <c r="D23" s="74"/>
    </row>
    <row r="24" spans="2:5" s="62" customFormat="1" ht="28.2" x14ac:dyDescent="0.3">
      <c r="B24" s="61" t="s">
        <v>164</v>
      </c>
      <c r="D24" s="74"/>
    </row>
    <row r="25" spans="2:5" s="62" customFormat="1" ht="28.2" x14ac:dyDescent="0.3">
      <c r="B25" s="61" t="s">
        <v>165</v>
      </c>
      <c r="D25" s="74"/>
    </row>
    <row r="26" spans="2:5" s="62" customFormat="1" ht="28.2" customHeight="1" x14ac:dyDescent="0.3">
      <c r="B26" s="61" t="s">
        <v>166</v>
      </c>
      <c r="D26" s="74"/>
    </row>
    <row r="27" spans="2:5" s="62" customFormat="1" ht="28.2" x14ac:dyDescent="0.3">
      <c r="B27" s="120" t="s">
        <v>158</v>
      </c>
      <c r="C27" s="121"/>
      <c r="D27" s="122"/>
    </row>
    <row r="28" spans="2:5" s="62" customFormat="1" ht="28.2" x14ac:dyDescent="0.3">
      <c r="B28" s="61" t="s">
        <v>159</v>
      </c>
      <c r="C28" s="60"/>
      <c r="D28" s="73"/>
    </row>
    <row r="29" spans="2:5" s="62" customFormat="1" ht="28.2" x14ac:dyDescent="0.3">
      <c r="B29" s="120" t="s">
        <v>167</v>
      </c>
      <c r="C29" s="121"/>
      <c r="D29" s="74"/>
    </row>
    <row r="30" spans="2:5" s="62" customFormat="1" ht="28.2" x14ac:dyDescent="0.3">
      <c r="B30" s="120" t="s">
        <v>168</v>
      </c>
      <c r="C30" s="121"/>
      <c r="D30" s="74"/>
    </row>
    <row r="31" spans="2:5" s="62" customFormat="1" ht="28.2" x14ac:dyDescent="0.3">
      <c r="B31" s="61" t="s">
        <v>169</v>
      </c>
      <c r="C31" s="60"/>
      <c r="D31" s="74"/>
    </row>
    <row r="32" spans="2:5" s="62" customFormat="1" ht="28.2" x14ac:dyDescent="0.3">
      <c r="B32" s="61" t="s">
        <v>170</v>
      </c>
      <c r="C32" s="60"/>
      <c r="D32" s="74"/>
    </row>
    <row r="33" spans="2:4" s="62" customFormat="1" ht="28.8" thickBot="1" x14ac:dyDescent="0.35">
      <c r="B33" s="104" t="s">
        <v>130</v>
      </c>
      <c r="C33" s="105"/>
      <c r="D33" s="106"/>
    </row>
    <row r="34" spans="2:4" s="62" customFormat="1" ht="28.2" x14ac:dyDescent="0.3">
      <c r="B34" s="107" t="s">
        <v>16</v>
      </c>
      <c r="C34" s="107"/>
      <c r="D34" s="62" t="s">
        <v>17</v>
      </c>
    </row>
    <row r="35" spans="2:4" ht="2.5499999999999998" customHeight="1" x14ac:dyDescent="0.3">
      <c r="C35" s="69"/>
      <c r="D35" s="69"/>
    </row>
  </sheetData>
  <mergeCells count="20">
    <mergeCell ref="B2:D2"/>
    <mergeCell ref="B3:D3"/>
    <mergeCell ref="B4:C4"/>
    <mergeCell ref="C9:D9"/>
    <mergeCell ref="C10:D10"/>
    <mergeCell ref="B33:D33"/>
    <mergeCell ref="B34:C34"/>
    <mergeCell ref="B7:C7"/>
    <mergeCell ref="B5:C5"/>
    <mergeCell ref="B6:C6"/>
    <mergeCell ref="B12:D12"/>
    <mergeCell ref="B13:D13"/>
    <mergeCell ref="B14:C14"/>
    <mergeCell ref="B15:D15"/>
    <mergeCell ref="B18:D19"/>
    <mergeCell ref="B17:D17"/>
    <mergeCell ref="B27:D27"/>
    <mergeCell ref="B20:D20"/>
    <mergeCell ref="B29:C29"/>
    <mergeCell ref="B30:C30"/>
  </mergeCells>
  <phoneticPr fontId="1" type="noConversion"/>
  <printOptions horizontalCentered="1"/>
  <pageMargins left="0" right="0" top="0" bottom="0" header="0.31496062992125984" footer="0.31496062992125984"/>
  <pageSetup paperSize="9" scale="53" fitToHeight="0" orientation="landscape" verticalDpi="0" r:id="rId1"/>
  <rowBreaks count="1" manualBreakCount="1">
    <brk id="10" max="4"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DEF73F-6B32-4F2D-AB99-C8EF8EC681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3</vt:i4>
      </vt:variant>
    </vt:vector>
  </HeadingPairs>
  <TitlesOfParts>
    <vt:vector size="10" baseType="lpstr">
      <vt:lpstr>Variable</vt:lpstr>
      <vt:lpstr>Temporary</vt:lpstr>
      <vt:lpstr>Temporary2</vt:lpstr>
      <vt:lpstr>報告藍本</vt:lpstr>
      <vt:lpstr>調閱清單</vt:lpstr>
      <vt:lpstr>工作底稿</vt:lpstr>
      <vt:lpstr>查核稽核報告</vt:lpstr>
      <vt:lpstr>工作底稿!Print_Area</vt:lpstr>
      <vt:lpstr>查核稽核報告!Print_Area</vt:lpstr>
      <vt:lpstr>調閱清單!Print_Area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Aspose Pty Ltd</dc:creator>
  <cp:lastModifiedBy>jacob_wang</cp:lastModifiedBy>
  <cp:lastPrinted>2022-10-14T10:10:09Z</cp:lastPrinted>
  <dcterms:created xsi:type="dcterms:W3CDTF">2022-10-04T09:35:30Z</dcterms:created>
  <dcterms:modified xsi:type="dcterms:W3CDTF">2022-10-28T07:31:30Z</dcterms:modified>
</cp:coreProperties>
</file>