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204" documentId="8_{5FBBAD68-AEBC-46F8-A253-6394286AD469}" xr6:coauthVersionLast="47" xr6:coauthVersionMax="47" xr10:uidLastSave="{2DB231E1-A949-44B3-8E17-698AE52E97F7}"/>
  <bookViews>
    <workbookView xWindow="-28920" yWindow="30" windowWidth="29040" windowHeight="15720" activeTab="3" xr2:uid="{863396A8-CC95-4158-B08E-7FCF27C09CF2}"/>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Temporary!$K$4:$K$6</definedName>
  </definedNames>
  <calcPr calcId="191028"/>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3" l="1"/>
  <c r="C3" i="13"/>
  <c r="C4" i="13"/>
  <c r="C5" i="13"/>
  <c r="C6" i="13"/>
  <c r="C7" i="13"/>
  <c r="C8" i="13"/>
  <c r="C9" i="13"/>
  <c r="C10" i="13"/>
  <c r="C11" i="13"/>
  <c r="C12" i="13"/>
  <c r="D6" i="3"/>
  <c r="P3" i="13"/>
  <c r="P4" i="13"/>
  <c r="P5" i="13"/>
  <c r="P6" i="13"/>
  <c r="P7" i="13"/>
  <c r="P8" i="13"/>
  <c r="P9" i="13"/>
  <c r="P10" i="13"/>
  <c r="P11" i="13"/>
  <c r="P12" i="13"/>
  <c r="P13" i="13"/>
  <c r="P14" i="13"/>
  <c r="P15" i="13"/>
  <c r="P16" i="13"/>
  <c r="P17" i="13"/>
  <c r="P2" i="13"/>
  <c r="F5" i="1" a="1"/>
  <c r="F5" i="1" s="1"/>
  <c r="D4" i="13" s="1"/>
  <c r="D9"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5" i="3"/>
  <c r="B16" i="3"/>
  <c r="B17" i="3"/>
  <c r="B18" i="3"/>
  <c r="B19" i="3"/>
  <c r="B20" i="3"/>
  <c r="B21" i="3"/>
  <c r="D13" i="8"/>
  <c r="D10" i="8"/>
  <c r="D8" i="8"/>
  <c r="D6" i="8"/>
  <c r="D7" i="3"/>
  <c r="D12" i="13" l="1"/>
  <c r="D11" i="13"/>
  <c r="D10" i="13"/>
  <c r="D5" i="13"/>
  <c r="D8" i="13"/>
  <c r="D3" i="13"/>
  <c r="D7" i="13"/>
  <c r="D9" i="13"/>
  <c r="D6" i="13"/>
  <c r="D17" i="8"/>
  <c r="D32"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G3" authorId="1"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<sst xmlns="http://schemas.openxmlformats.org/spreadsheetml/2006/main" count="370" uniqueCount="201">
  <si>
    <t>底稿索引</t>
  </si>
  <si>
    <t>是</t>
  </si>
  <si>
    <t>否</t>
  </si>
  <si>
    <t>查核項目</t>
  </si>
  <si>
    <t>檢查、評估情形</t>
  </si>
  <si>
    <t>不適用</t>
  </si>
  <si>
    <t>實際執行事項說明</t>
    <phoneticPr fontId="1" type="noConversion"/>
  </si>
  <si>
    <t xml:space="preserve">  </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</si>
  <si>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</si>
  <si>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</si>
  <si>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</si>
  <si>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</si>
  <si>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</si>
  <si>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</si>
  <si>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</si>
  <si>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</si>
  <si>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</si>
  <si>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</si>
  <si>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</si>
  <si>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</si>
  <si>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</si>
  <si>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</si>
  <si>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</si>
  <si>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</si>
  <si>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</si>
  <si>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</si>
  <si>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</si>
  <si>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</si>
  <si>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</si>
  <si>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</si>
  <si>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</si>
  <si>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</si>
  <si>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</si>
  <si>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</si>
  <si>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</si>
  <si>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</si>
  <si>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、基本作業循環內部控制制度之</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</si>
  <si>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</si>
  <si>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</si>
  <si>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</si>
  <si>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</si>
  <si>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</si>
  <si>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</si>
  <si>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</si>
  <si>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</si>
  <si>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</si>
  <si>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</si>
  <si>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</si>
  <si>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</si>
  <si>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</si>
  <si>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產出結果：</t>
    <phoneticPr fontId="1" type="noConversion"/>
  </si>
  <si>
    <t>文字串接：</t>
    <phoneticPr fontId="1" type="noConversion"/>
  </si>
  <si>
    <t>查核人員：裴古瑞、王建智</t>
    <phoneticPr fontId="1" type="noConversion"/>
  </si>
  <si>
    <t>查核範圍期間：111年1月1日~111年08月31日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</si>
  <si>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</si>
  <si>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</si>
  <si>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</si>
  <si>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</si>
  <si>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</si>
  <si>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</si>
  <si>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</si>
  <si>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</si>
  <si>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</si>
  <si>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</si>
  <si>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</si>
  <si>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</si>
  <si>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</si>
  <si>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</si>
  <si>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</si>
  <si>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</si>
  <si>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</si>
  <si>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</si>
  <si>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</si>
  <si>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</si>
  <si>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</si>
  <si>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</si>
  <si>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</si>
  <si>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</si>
  <si>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</si>
  <si>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</si>
  <si>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</si>
  <si>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</si>
  <si>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</si>
  <si>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</si>
  <si>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</si>
  <si>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</si>
  <si>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</si>
  <si>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</si>
  <si>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</si>
  <si>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</si>
  <si>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</si>
  <si>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</si>
  <si>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</si>
  <si>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</si>
  <si>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</si>
  <si>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順序</t>
    <phoneticPr fontId="1" type="noConversion"/>
  </si>
  <si>
    <t>條列式內容</t>
    <phoneticPr fontId="1" type="noConversion"/>
  </si>
  <si>
    <t>欲輸出畫面</t>
  </si>
  <si>
    <t>依左側查核內容撰寫稽核報告</t>
    <phoneticPr fontId="1" type="noConversion"/>
  </si>
  <si>
    <t>空白</t>
    <phoneticPr fontId="1" type="noConversion"/>
  </si>
  <si>
    <t xml:space="preserve">    </t>
    <phoneticPr fontId="1" type="noConversion"/>
  </si>
  <si>
    <t xml:space="preserve">                             全支付電子支付  稽核室</t>
  </si>
  <si>
    <t xml:space="preserve">董事長（簽章/日期）: </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</si>
  <si>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</si>
  <si>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</si>
  <si>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</si>
  <si>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</si>
  <si>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</si>
  <si>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本公司收付訊息處理作業委外之管理，是否符合相關規範辦理。</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</si>
  <si>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</si>
  <si>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</si>
  <si>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</si>
  <si>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查核期間</t>
    <phoneticPr fontId="1" type="noConversion"/>
  </si>
  <si>
    <t>營收及收款循環</t>
  </si>
  <si>
    <t>營收及收款循環</t>
    <phoneticPr fontId="1" type="noConversion"/>
  </si>
  <si>
    <t>消費者權益保障措施及消費糾紛處理程序</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</si>
  <si>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</si>
  <si>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</si>
  <si>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</si>
  <si>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</si>
  <si>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</si>
  <si>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</si>
  <si>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</si>
  <si>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「消費者權益保障措施及消費糾紛處理程序」</t>
  </si>
  <si>
    <t>「營收及收款循環」</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</si>
  <si>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</si>
  <si>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</si>
  <si>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</si>
  <si>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</si>
  <si>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</si>
  <si>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</si>
  <si>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</si>
  <si>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本公司收付訊息處理作業委外之管理，是否符合相關規範辦理。</t>
    <phoneticPr fontId="1" type="noConversion"/>
  </si>
  <si>
    <t>本公司代收以新臺幣繳納儲值款項作業委外之管理，是否符合相關規範辦理。</t>
    <phoneticPr fontId="1" type="noConversion"/>
  </si>
  <si>
    <t>通路商付款及入帳作業</t>
  </si>
  <si>
    <t>通路商付款及入帳作業</t>
    <phoneticPr fontId="1" type="noConversion"/>
  </si>
  <si>
    <t>委外管理作業管理</t>
  </si>
  <si>
    <t>委外管理作業管理</t>
    <phoneticPr fontId="1" type="noConversion"/>
  </si>
  <si>
    <t>業務部是否針對該代收以新臺幣繳納儲值款項作業業務至少每半年對受託機構辦理相關檢核作業。</t>
  </si>
  <si>
    <t>業務部是否針對該代收以新臺幣繳納儲值款項作業業務至少每半年對受託機構辦理相關檢核作業。</t>
    <phoneticPr fontId="1" type="noConversion"/>
  </si>
  <si>
    <t>業務部是否針對該收付訊息處理作業委外業務至少每半年對受託機構辦理相關檢核作業。</t>
  </si>
  <si>
    <t>業務部是否針對該收付訊息處理作業委外業務至少每半年對受託機構辦理相關檢核作業。</t>
    <phoneticPr fontId="1" type="noConversion"/>
  </si>
  <si>
    <t>說明：此處將直接帶入調閱清單及工作底稿。
注意：查核項目不能相同，因為此自動化包含樞紐，相同的項目會被刪掉。</t>
    <phoneticPr fontId="1" type="noConversion"/>
  </si>
  <si>
    <t>二、  財務狀況：</t>
  </si>
  <si>
    <t>不適用。</t>
  </si>
  <si>
    <t>三、  經營績效：</t>
  </si>
  <si>
    <t>四、  資產品質：</t>
  </si>
  <si>
    <t>五、  董事會議事運作之管理：</t>
  </si>
  <si>
    <t>六、  法令遵循：</t>
  </si>
  <si>
    <t>尚符合規定。</t>
  </si>
  <si>
    <t>七、  內部控制：</t>
  </si>
  <si>
    <t>八、  各項業務作業控制與內部管理：</t>
  </si>
  <si>
    <t>除下列發現事項外，其餘尚符合相關規定。</t>
  </si>
  <si>
    <t>九、  使用者及特約機構資料保密管理：</t>
  </si>
  <si>
    <t>十、  資訊管理：</t>
  </si>
  <si>
    <t>十一、 員工保密教育：</t>
  </si>
  <si>
    <t>十二、 金融消費者權益保護措施：</t>
  </si>
  <si>
    <t>十三、 自行查核辦理情形：</t>
  </si>
  <si>
    <t>辦理自行查核作業尚符合規定。</t>
  </si>
  <si>
    <t>十四、 其他說明事項：</t>
  </si>
  <si>
    <t>無。</t>
  </si>
  <si>
    <t>查核評估事項</t>
    <phoneticPr fontId="1" type="noConversion"/>
  </si>
  <si>
    <t>查核評估事項</t>
    <phoneticPr fontId="1" type="noConversion"/>
  </si>
  <si>
    <t>十二、金融消費者權益保護措施：</t>
    <phoneticPr fontId="1" type="noConversion"/>
  </si>
  <si>
    <t>十三、自行查核辦理情形：</t>
    <phoneticPr fontId="1" type="noConversion"/>
  </si>
  <si>
    <t>十四、其他說明事項：</t>
    <phoneticPr fontId="1" type="noConversion"/>
  </si>
  <si>
    <t>一、綜合評述/本次查核情形之重點說明：</t>
    <phoneticPr fontId="1" type="noConversion"/>
  </si>
  <si>
    <t>五、  董事會議事運作之管理：不適用。</t>
  </si>
  <si>
    <t>六、  法令遵循：尚符合規定。</t>
  </si>
  <si>
    <t>七、  內部控制：尚符合規定。</t>
  </si>
  <si>
    <t>九、  使用者及特約機構資料保密管理：不適用。</t>
  </si>
  <si>
    <t>十、  資訊管理：除下列發現事項外，其餘尚符合相關規定。</t>
  </si>
  <si>
    <t>十一、 員工保密教育：尚符合規定。</t>
  </si>
  <si>
    <t>十二、 金融消費者權益保護措施：不適用。</t>
  </si>
  <si>
    <t>十四、 其他說明事項：無。</t>
  </si>
  <si>
    <t>查核所需資料</t>
    <phoneticPr fontId="1" type="noConversion"/>
  </si>
  <si>
    <t>一 般 查 核 稽 核 報 告</t>
    <phoneticPr fontId="1" type="noConversion"/>
  </si>
  <si>
    <r>
      <t>查核基準日：111</t>
    </r>
    <r>
      <rPr>
        <sz val="11"/>
        <color theme="1"/>
        <rFont val="新細明體"/>
        <family val="1"/>
        <charset val="136"/>
        <scheme val="major"/>
      </rPr>
      <t>年09月31日</t>
    </r>
    <phoneticPr fontId="1" type="noConversion"/>
  </si>
  <si>
    <t>若有應收帳款因退貨或折讓，是否由業務部開立「應收帳款異動通知申請單」及「客戶退貨申請單」後交由財務部進行帳務處理。</t>
    <phoneticPr fontId="1" type="noConversion"/>
  </si>
  <si>
    <t>查核範圍期間：111年01月01日~111年09月31日</t>
    <phoneticPr fontId="1" type="noConversion"/>
  </si>
  <si>
    <t>查核基準日：111年09月31日</t>
    <phoneticPr fontId="1" type="noConversion"/>
  </si>
  <si>
    <t>製表日：中華民國111年11月7日</t>
    <phoneticPr fontId="1" type="noConversion"/>
  </si>
  <si>
    <t>查核期間：111年  月  日~111年  月  日</t>
    <phoneticPr fontId="1" type="noConversion"/>
  </si>
  <si>
    <t>中華民國111年11月7日</t>
    <phoneticPr fontId="1" type="noConversion"/>
  </si>
  <si>
    <t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t>
    <phoneticPr fontId="1" type="noConversion"/>
  </si>
  <si>
    <t>二、  財務狀況：不適用。</t>
  </si>
  <si>
    <t>三、  經營績效：不適用。</t>
  </si>
  <si>
    <t>四、  資產品質：不適用。</t>
  </si>
  <si>
    <t>八、  各項業務作業控制與內部管理：除下列發現事項外，其餘尚符合相關規定。</t>
  </si>
  <si>
    <t>十三、 自行查核辦理情形：辦理自行查核作業尚符合規定。</t>
  </si>
  <si>
    <t>以新台幣現金繳納支付款項作業，經查核「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具訪談，目前尚未執行相關查核作業。</t>
    <phoneticPr fontId="1" type="noConversion"/>
  </si>
  <si>
    <t>經查核「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t>
    <phoneticPr fontId="1" type="noConversion"/>
  </si>
  <si>
    <t>經查核「電子支付業務交易訊息整合傳遞服務與合作機構契約書」，電子支付業務交易訊息整合傳遞服務委外由台新國際商業銀行承辦，由訪談得知，近期因原專案負責人離職，該專案尚未完整交接，目前無過去相關資料，且尚未規劃未來查核計畫。</t>
    <phoneticPr fontId="1" type="noConversion"/>
  </si>
  <si>
    <t>經查核「代收金流儲值服務契約書」，委外由全聯實業股份有限公司代為辦理由訪談得知，近期原專案負責人離職，該專案尚未完整交接，目前無過去相關資料，且尚未規劃未來查核計畫。</t>
    <phoneticPr fontId="1" type="noConversion"/>
  </si>
  <si>
    <r>
      <rPr>
        <sz val="11"/>
        <rFont val="微軟正黑體"/>
        <family val="2"/>
        <charset val="136"/>
      </rPr>
      <t>依「第三方服務資訊安全管理辦法」第三條第三項第二款「應負責監督委外廠商對於相關資訊安全管控要求的落實與遵守，若委外廠商或其人員，違反或未遵守時，應向委外廠商提出警示。」</t>
    </r>
    <r>
      <rPr>
        <sz val="11"/>
        <rFont val="細明體"/>
        <family val="2"/>
        <charset val="136"/>
      </rPr>
      <t>，本次查核包含「電子支付業務交易訊息整合傳遞服務」及「代收金流儲值服務」未依前列之作業辦法執行。</t>
    </r>
    <phoneticPr fontId="1" type="noConversion"/>
  </si>
  <si>
    <t>經查核「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「電子支付業務交易訊息整合傳遞服務」委託台新國際商業銀行承辦，訪談得知，近期因原專案負責人離職，該專案尚未完整交接，目前無過去相關資料，且尚未規劃未來查核計畫。
經查核「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具訪談，目前尚未執行相關查核作業。
經查核「代收金流儲值服務契約書」，以新台幣現金繳納支付款項作業委外由全聯實業股份有限公司代為辦理由訪談得知，近期原專案負責人離職，該專案尚未完整交接，目前無過去相關資料，且尚未規劃未來查核計畫。
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t>
  </si>
  <si>
    <t xml:space="preserve">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
</t>
    <phoneticPr fontId="1" type="noConversion"/>
  </si>
  <si>
    <t xml:space="preserve">「電子支付業務交易訊息整合傳遞服務」委託台新國際商業銀行承辦，訪談得知，近期因原專案負責人離職，該專案尚未完整交接，目前無過去相關資料，且尚未規劃委外廠商查核計畫。
</t>
    <phoneticPr fontId="1" type="noConversion"/>
  </si>
  <si>
    <t xml:space="preserve">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t>
    <phoneticPr fontId="1" type="noConversion"/>
  </si>
  <si>
    <t xml:space="preserve">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
</t>
    <phoneticPr fontId="1" type="noConversion"/>
  </si>
  <si>
    <t xml:space="preserve">經查核「代收金流儲值服務契約書」，以新台幣現金繳納支付款項作業委外由全聯實業股份有限公司代為辦理由訪談得知，近期原專案負責人離職，該專案尚未完整交接，目前無過去相關資料，且尚未規劃委外廠商查核計畫。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</si>
</sst>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sz val="1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color rgb="FF000000"/>
      <name val="標楷體"/>
      <family val="4"/>
      <charset val="136"/>
    </font>
    <font>
      <sz val="12"/>
      <name val="新細明體"/>
      <family val="1"/>
      <charset val="136"/>
    </font>
    <font>
      <sz val="11"/>
      <name val="微軟正黑體"/>
      <family val="2"/>
      <charset val="136"/>
    </font>
    <font>
      <sz val="11"/>
      <name val="新細明體"/>
      <family val="1"/>
      <charset val="136"/>
      <scheme val="major"/>
    </font>
    <font>
      <sz val="11"/>
      <color theme="1"/>
      <name val="新細明體"/>
      <family val="1"/>
      <charset val="136"/>
      <scheme val="major"/>
    </font>
    <font>
      <b/>
      <sz val="16"/>
      <name val="新細明體"/>
      <family val="1"/>
      <charset val="136"/>
      <scheme val="minor"/>
    </font>
    <font>
      <b/>
      <sz val="16"/>
      <name val="Calibri"/>
      <family val="2"/>
    </font>
    <font>
      <b/>
      <sz val="16"/>
      <name val="標楷體"/>
      <family val="4"/>
      <charset val="136"/>
    </font>
    <font>
      <b/>
      <sz val="12"/>
      <color theme="1"/>
      <name val="標楷體"/>
      <family val="4"/>
      <charset val="136"/>
    </font>
    <font>
      <b/>
      <sz val="11"/>
      <color theme="1"/>
      <name val="標楷體"/>
      <family val="4"/>
      <charset val="136"/>
    </font>
    <font>
      <sz val="11"/>
      <name val="Calibri"/>
      <family val="2"/>
      <charset val="136"/>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14" fillId="0" borderId="0"/>
  </cellStyleXfs>
  <cellXfs count="141">
    <xf numFmtId="0" fontId="0" fillId="0" borderId="0" xfId="0" applyAlignment="1">
      <alignment horizontal="left"/>
    </xf>
    <xf numFmtId="0" fontId="2" fillId="0" borderId="0" xfId="0" applyFont="1" applyAlignment="1">
      <alignment horizontal="left" vertical="center"/>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3" fillId="0" borderId="0" xfId="0" applyFont="1" applyAlignment="1">
      <alignment horizontal="left"/>
    </xf>
    <xf numFmtId="0" fontId="24" fillId="0" borderId="0" xfId="0" applyFont="1" applyAlignment="1">
      <alignment horizontal="left"/>
    </xf>
    <xf numFmtId="0" fontId="25" fillId="0" borderId="0" xfId="0" applyFont="1" applyAlignment="1">
      <alignment horizontal="left"/>
    </xf>
    <xf numFmtId="0" fontId="22" fillId="0" borderId="0" xfId="0" applyFont="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0" fillId="0" borderId="0" xfId="0" applyFont="1" applyAlignment="1">
      <alignment horizontal="left" wrapText="1"/>
    </xf>
    <xf numFmtId="0" fontId="30" fillId="0" borderId="17" xfId="0" applyFont="1" applyBorder="1" applyAlignment="1">
      <alignment horizontal="left" wrapText="1"/>
    </xf>
    <xf numFmtId="0" fontId="30" fillId="0" borderId="0" xfId="0" applyFont="1" applyAlignment="1">
      <alignment horizontal="left" vertical="top" wrapText="1"/>
    </xf>
    <xf numFmtId="0" fontId="30"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11" fillId="0" borderId="0" xfId="0" applyFont="1" applyAlignment="1">
      <alignment horizontal="left" vertical="top"/>
    </xf>
    <xf numFmtId="0" fontId="28" fillId="0" borderId="2" xfId="0" applyFont="1" applyBorder="1" applyAlignment="1">
      <alignment horizontal="left" vertical="top" wrapText="1"/>
    </xf>
    <xf numFmtId="0" fontId="28" fillId="0" borderId="5" xfId="0" applyFont="1" applyBorder="1" applyAlignment="1">
      <alignment horizontal="left" vertical="top"/>
    </xf>
    <xf numFmtId="0" fontId="33" fillId="0" borderId="0" xfId="0" applyFont="1" applyAlignment="1">
      <alignment horizontal="left" vertical="top"/>
    </xf>
    <xf numFmtId="0" fontId="28" fillId="0" borderId="0" xfId="0" applyFont="1" applyAlignment="1">
      <alignment horizontal="right" vertical="top"/>
    </xf>
    <xf numFmtId="0" fontId="0" fillId="0" borderId="1" xfId="0" applyBorder="1" applyAlignment="1">
      <alignment horizontal="left"/>
    </xf>
    <xf numFmtId="0" fontId="20" fillId="0" borderId="30" xfId="0" applyFont="1" applyBorder="1" applyAlignment="1">
      <alignment horizontal="center" vertical="center" wrapText="1"/>
    </xf>
    <xf numFmtId="0" fontId="36" fillId="0" borderId="0" xfId="0" applyFont="1" applyAlignment="1">
      <alignment horizontal="left"/>
    </xf>
    <xf numFmtId="0" fontId="18" fillId="0" borderId="0" xfId="1" applyFont="1" applyAlignment="1">
      <alignment wrapText="1"/>
    </xf>
    <xf numFmtId="0" fontId="2" fillId="0" borderId="30" xfId="0" applyFont="1" applyBorder="1" applyAlignment="1">
      <alignment horizontal="left" wrapText="1"/>
    </xf>
    <xf numFmtId="0" fontId="37" fillId="0" borderId="0" xfId="0" applyFont="1" applyAlignment="1">
      <alignment horizontal="left" wrapText="1"/>
    </xf>
    <xf numFmtId="0" fontId="4" fillId="2" borderId="9" xfId="0" applyFont="1" applyFill="1" applyBorder="1" applyAlignment="1">
      <alignment horizontal="center" vertical="center" wrapText="1"/>
    </xf>
    <xf numFmtId="0" fontId="38" fillId="0" borderId="18" xfId="0" applyFont="1" applyBorder="1" applyAlignment="1">
      <alignment horizontal="left"/>
    </xf>
    <xf numFmtId="0" fontId="38" fillId="0" borderId="19" xfId="0" applyFont="1" applyBorder="1" applyAlignment="1">
      <alignment horizontal="left"/>
    </xf>
    <xf numFmtId="0" fontId="38" fillId="0" borderId="14" xfId="0" applyFont="1" applyBorder="1" applyAlignment="1">
      <alignment horizontal="left"/>
    </xf>
    <xf numFmtId="0" fontId="38" fillId="0" borderId="20" xfId="0" applyFont="1" applyBorder="1" applyAlignment="1">
      <alignment horizontal="left"/>
    </xf>
    <xf numFmtId="0" fontId="38" fillId="0" borderId="1" xfId="0" applyFont="1" applyBorder="1" applyAlignment="1">
      <alignment horizontal="left"/>
    </xf>
    <xf numFmtId="0" fontId="38" fillId="0" borderId="15" xfId="0" applyFont="1" applyBorder="1" applyAlignment="1">
      <alignment horizontal="left"/>
    </xf>
    <xf numFmtId="0" fontId="38" fillId="0" borderId="31" xfId="0" applyFont="1" applyBorder="1" applyAlignment="1">
      <alignment horizontal="left"/>
    </xf>
    <xf numFmtId="0" fontId="38" fillId="0" borderId="9" xfId="0" applyFont="1" applyBorder="1" applyAlignment="1">
      <alignment horizontal="left"/>
    </xf>
    <xf numFmtId="0" fontId="38" fillId="0" borderId="32" xfId="0" applyFont="1" applyBorder="1" applyAlignment="1">
      <alignment horizontal="left"/>
    </xf>
    <xf numFmtId="0" fontId="38" fillId="0" borderId="21" xfId="0" applyFont="1" applyBorder="1" applyAlignment="1">
      <alignment horizontal="left" wrapText="1"/>
    </xf>
    <xf numFmtId="0" fontId="38" fillId="0" borderId="22" xfId="0" applyFont="1" applyBorder="1" applyAlignment="1">
      <alignment horizontal="left"/>
    </xf>
    <xf numFmtId="0" fontId="38" fillId="0" borderId="16" xfId="0" applyFont="1" applyBorder="1" applyAlignment="1">
      <alignment horizontal="left"/>
    </xf>
    <xf numFmtId="0" fontId="11" fillId="0" borderId="18" xfId="0" applyFont="1" applyBorder="1" applyAlignment="1">
      <alignment horizontal="left" vertical="top"/>
    </xf>
    <xf numFmtId="0" fontId="11" fillId="0" borderId="14" xfId="0" applyFont="1" applyBorder="1" applyAlignment="1">
      <alignment horizontal="left" vertical="top"/>
    </xf>
    <xf numFmtId="0" fontId="11" fillId="0" borderId="20" xfId="0" applyFont="1" applyBorder="1" applyAlignment="1">
      <alignment horizontal="left" vertical="top"/>
    </xf>
    <xf numFmtId="0" fontId="11" fillId="0" borderId="15" xfId="0" applyFont="1" applyBorder="1" applyAlignment="1">
      <alignment horizontal="left" vertical="top"/>
    </xf>
    <xf numFmtId="0" fontId="11" fillId="0" borderId="21" xfId="0" applyFont="1" applyBorder="1" applyAlignment="1">
      <alignment horizontal="left" vertical="top"/>
    </xf>
    <xf numFmtId="0" fontId="11" fillId="0" borderId="16" xfId="0" applyFont="1" applyBorder="1" applyAlignment="1">
      <alignment horizontal="left" vertical="top"/>
    </xf>
    <xf numFmtId="0" fontId="0" fillId="0" borderId="0" xfId="0" applyAlignment="1">
      <alignment horizontal="left" vertical="top"/>
    </xf>
    <xf numFmtId="0" fontId="40" fillId="3" borderId="24" xfId="0" applyFont="1" applyFill="1" applyBorder="1" applyAlignment="1">
      <alignment horizontal="center" vertical="center" wrapText="1"/>
    </xf>
    <xf numFmtId="0" fontId="40" fillId="0" borderId="10" xfId="0" applyFont="1" applyBorder="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43" fillId="0" borderId="1" xfId="1" applyFont="1" applyBorder="1" applyAlignment="1">
      <alignment horizontal="center" vertical="center"/>
    </xf>
    <xf numFmtId="0" fontId="18" fillId="0" borderId="33" xfId="1" applyFont="1" applyBorder="1"/>
    <xf numFmtId="0" fontId="45" fillId="0" borderId="0" xfId="0" applyFont="1" applyAlignment="1">
      <alignment horizontal="left" wrapText="1"/>
    </xf>
    <xf numFmtId="0" fontId="12" fillId="0" borderId="0" xfId="0" applyFont="1" applyAlignment="1">
      <alignment horizontal="left" wrapText="1"/>
    </xf>
    <xf numFmtId="0" fontId="0" fillId="0" borderId="1" xfId="0" applyBorder="1" applyAlignment="1">
      <alignment horizontal="left" wrapText="1"/>
    </xf>
    <xf numFmtId="0" fontId="0" fillId="0" borderId="23" xfId="0" applyBorder="1" applyAlignment="1">
      <alignment horizontal="left"/>
    </xf>
    <xf numFmtId="0" fontId="0" fillId="0" borderId="23" xfId="0" applyBorder="1" applyAlignment="1">
      <alignment horizontal="left" wrapText="1"/>
    </xf>
    <xf numFmtId="0" fontId="23" fillId="0" borderId="0" xfId="0" applyFont="1" applyAlignment="1">
      <alignment horizontal="left" wrapText="1"/>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42" fillId="0" borderId="4" xfId="0" applyFont="1" applyBorder="1" applyAlignment="1">
      <alignment horizontal="center" vertical="center"/>
    </xf>
    <xf numFmtId="0" fontId="42" fillId="0" borderId="25" xfId="0" applyFont="1" applyBorder="1" applyAlignment="1">
      <alignment horizontal="center" vertical="center"/>
    </xf>
    <xf numFmtId="0" fontId="42" fillId="0" borderId="5" xfId="0" applyFont="1" applyBorder="1" applyAlignment="1">
      <alignment horizontal="center" vertical="center"/>
    </xf>
    <xf numFmtId="0" fontId="42" fillId="3" borderId="6" xfId="0" applyFont="1" applyFill="1" applyBorder="1" applyAlignment="1">
      <alignment horizontal="center" vertical="center"/>
    </xf>
    <xf numFmtId="0" fontId="42" fillId="3" borderId="7" xfId="0" applyFont="1" applyFill="1" applyBorder="1" applyAlignment="1">
      <alignment horizontal="center" vertical="center"/>
    </xf>
    <xf numFmtId="0" fontId="7" fillId="0" borderId="34" xfId="1" applyFont="1" applyBorder="1" applyAlignment="1">
      <alignment vertical="center" wrapText="1"/>
    </xf>
    <xf numFmtId="0" fontId="44" fillId="0" borderId="1" xfId="1" applyFont="1" applyBorder="1" applyAlignment="1">
      <alignment horizontal="center" vertical="center" wrapText="1"/>
    </xf>
    <xf numFmtId="0" fontId="44" fillId="0" borderId="33" xfId="1" applyFont="1" applyBorder="1" applyAlignment="1">
      <alignment horizontal="center" vertical="center" wrapText="1"/>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8" fillId="0" borderId="3" xfId="0" applyFont="1" applyBorder="1" applyAlignment="1">
      <alignment horizontal="left" vertical="top"/>
    </xf>
    <xf numFmtId="0" fontId="28" fillId="0" borderId="0" xfId="0" applyFont="1" applyAlignment="1">
      <alignment horizontal="left" vertical="top"/>
    </xf>
    <xf numFmtId="0" fontId="28" fillId="0" borderId="8" xfId="0" applyFont="1" applyBorder="1" applyAlignment="1">
      <alignment horizontal="left" vertical="top"/>
    </xf>
    <xf numFmtId="0" fontId="28" fillId="0" borderId="3" xfId="0" applyFont="1" applyBorder="1" applyAlignment="1">
      <alignment horizontal="left" vertical="top" wrapText="1"/>
    </xf>
    <xf numFmtId="0" fontId="28" fillId="0" borderId="6" xfId="0" applyFont="1" applyBorder="1" applyAlignment="1">
      <alignment horizontal="left" vertical="top" wrapText="1"/>
    </xf>
    <xf numFmtId="0" fontId="28" fillId="0" borderId="26" xfId="0" applyFont="1" applyBorder="1" applyAlignment="1">
      <alignment horizontal="left" vertical="top" wrapText="1"/>
    </xf>
    <xf numFmtId="0" fontId="28" fillId="0" borderId="7" xfId="0" applyFont="1" applyBorder="1" applyAlignment="1">
      <alignment horizontal="left" vertical="top" wrapText="1"/>
    </xf>
    <xf numFmtId="0" fontId="10" fillId="0" borderId="0" xfId="0" applyFont="1" applyAlignment="1">
      <alignment horizontal="center"/>
    </xf>
    <xf numFmtId="0" fontId="10" fillId="0" borderId="0" xfId="0" applyFont="1" applyAlignment="1">
      <alignment horizontal="center" vertical="top"/>
    </xf>
    <xf numFmtId="0" fontId="28" fillId="0" borderId="0" xfId="0" applyFont="1" applyAlignment="1">
      <alignment horizontal="left" vertical="top" wrapText="1"/>
    </xf>
    <xf numFmtId="0" fontId="28" fillId="0" borderId="0" xfId="0" applyFont="1" applyAlignment="1">
      <alignment horizontal="right" vertical="top"/>
    </xf>
    <xf numFmtId="0" fontId="28" fillId="0" borderId="27" xfId="0" applyFont="1" applyBorder="1" applyAlignment="1">
      <alignment horizontal="left" vertical="top" wrapText="1"/>
    </xf>
    <xf numFmtId="0" fontId="28" fillId="0" borderId="28" xfId="0" applyFont="1" applyBorder="1" applyAlignment="1">
      <alignment horizontal="left" vertical="top" wrapText="1"/>
    </xf>
    <xf numFmtId="0" fontId="28" fillId="0" borderId="29" xfId="0" applyFont="1" applyBorder="1" applyAlignment="1">
      <alignment horizontal="left" vertical="top" wrapText="1"/>
    </xf>
    <xf numFmtId="0" fontId="35" fillId="0" borderId="0" xfId="0" applyFont="1" applyAlignment="1">
      <alignment horizontal="left" vertical="top"/>
    </xf>
    <xf numFmtId="0" fontId="28" fillId="0" borderId="2" xfId="0" applyFont="1" applyBorder="1" applyAlignment="1">
      <alignment horizontal="left" vertical="top" wrapText="1"/>
    </xf>
    <xf numFmtId="0" fontId="34" fillId="0" borderId="6" xfId="0" applyFont="1" applyBorder="1" applyAlignment="1">
      <alignment horizontal="left" vertical="top" wrapText="1"/>
    </xf>
    <xf numFmtId="0" fontId="34" fillId="0" borderId="26" xfId="0" applyFont="1" applyBorder="1" applyAlignment="1">
      <alignment horizontal="left" vertical="top" wrapText="1"/>
    </xf>
    <xf numFmtId="0" fontId="34" fillId="0" borderId="7" xfId="0" applyFont="1" applyBorder="1" applyAlignment="1">
      <alignment horizontal="left" vertical="top" wrapText="1"/>
    </xf>
    <xf numFmtId="0" fontId="34" fillId="0" borderId="3" xfId="0" applyFont="1" applyBorder="1" applyAlignment="1">
      <alignment horizontal="left" vertical="top" wrapText="1"/>
    </xf>
    <xf numFmtId="0" fontId="34" fillId="0" borderId="0" xfId="0" applyFont="1" applyAlignment="1">
      <alignment horizontal="left" vertical="top" wrapText="1"/>
    </xf>
    <xf numFmtId="0" fontId="34" fillId="0" borderId="8" xfId="0" applyFont="1" applyBorder="1" applyAlignment="1">
      <alignment horizontal="left" vertical="top" wrapText="1"/>
    </xf>
    <xf numFmtId="0" fontId="34" fillId="0" borderId="4" xfId="0" applyFont="1" applyBorder="1" applyAlignment="1">
      <alignment horizontal="left" vertical="top" wrapText="1"/>
    </xf>
    <xf numFmtId="0" fontId="34" fillId="0" borderId="25" xfId="0" applyFont="1" applyBorder="1" applyAlignment="1">
      <alignment horizontal="left" vertical="top" wrapText="1"/>
    </xf>
    <xf numFmtId="0" fontId="28" fillId="0" borderId="8" xfId="0" applyFont="1" applyBorder="1" applyAlignment="1">
      <alignment horizontal="left" vertical="top" wrapText="1"/>
    </xf>
  </cellXfs>
  <cellStyles count="2">
    <cellStyle name="一般" xfId="0" builtinId="0"/>
    <cellStyle name="一般 2" xfId="1" xr:uid="{A0D876ED-3420-4468-84A3-4EE09B288729}"/>
  </cellStyles>
  <dxfs count="31">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border diagonalUp="0" diagonalDown="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137160</xdr:colOff>
          <xdr:row>3</xdr:row>
          <xdr:rowOff>60960</xdr:rowOff>
        </xdr:from>
        <xdr:to>
          <xdr:col>6</xdr:col>
          <xdr:colOff>1821180</xdr:colOff>
          <xdr:row>5</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11</xdr:row>
          <xdr:rowOff>38100</xdr:rowOff>
        </xdr:from>
        <xdr:to>
          <xdr:col>4</xdr:col>
          <xdr:colOff>1447800</xdr:colOff>
          <xdr:row>12</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轉出調閱清單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2560320</xdr:colOff>
          <xdr:row>11</xdr:row>
          <xdr:rowOff>68580</xdr:rowOff>
        </xdr:from>
        <xdr:to>
          <xdr:col>8</xdr:col>
          <xdr:colOff>617220</xdr:colOff>
          <xdr:row>12</xdr:row>
          <xdr:rowOff>259080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轉出稽核報告</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72.72850474537"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2">
        <s v="委外管理作業管理"/>
        <s v="通路商付款及入帳作業"/>
      </sharedItems>
    </cacheField>
    <cacheField name="[查核作業].[查核項目].[查核項目]" caption="查核項目" numFmtId="0" hierarchy="2" level="1">
      <sharedItems count="10">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業務部是否針對該代收以新臺幣繳納儲值款項作業業務至少每半年對受託機構辦理相關檢核作業。"/>
        <s v="業務部是否針對該收付訊息處理作業委外業務至少每半年對受託機構辦理相關檢核作業。"/>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0"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13" firstHeaderRow="1" firstDataRow="1" firstDataCol="2"/>
  <pivotFields count="2">
    <pivotField axis="axisRow" compact="0" allDrilled="1" showAll="0" dataSourceSort="1" defaultSubtotal="0" defaultAttributeDrillState="1">
      <items count="2">
        <item x="0"/>
        <item x="1"/>
      </items>
    </pivotField>
    <pivotField axis="axisRow" compact="0" allDrilled="1" showAll="0" dataSourceSort="1" defaultSubtotal="0" defaultAttributeDrillState="1">
      <items count="10">
        <item x="0"/>
        <item x="1"/>
        <item x="2"/>
        <item x="3"/>
        <item x="4"/>
        <item x="5"/>
        <item x="6"/>
        <item x="7"/>
        <item x="8"/>
        <item x="9"/>
      </items>
    </pivotField>
  </pivotFields>
  <rowFields count="2">
    <field x="0"/>
    <field x="1"/>
  </rowFields>
  <rowItems count="12">
    <i>
      <x/>
    </i>
    <i r="1">
      <x/>
    </i>
    <i r="1">
      <x v="1"/>
    </i>
    <i r="1">
      <x v="2"/>
    </i>
    <i r="1">
      <x v="3"/>
    </i>
    <i r="1">
      <x v="4"/>
    </i>
    <i>
      <x v="1"/>
    </i>
    <i r="1">
      <x v="5"/>
    </i>
    <i r="1">
      <x v="6"/>
    </i>
    <i r="1">
      <x v="7"/>
    </i>
    <i r="1">
      <x v="8"/>
    </i>
    <i r="1">
      <x v="9"/>
    </i>
  </rowItems>
  <formats count="10">
    <format dxfId="25">
      <pivotArea type="all" dataOnly="0" outline="0" fieldPosition="0"/>
    </format>
    <format dxfId="24">
      <pivotArea field="0" type="button" dataOnly="0" labelOnly="1" outline="0" axis="axisRow" fieldPosition="0"/>
    </format>
    <format dxfId="23">
      <pivotArea field="1" type="button" dataOnly="0" labelOnly="1" outline="0" axis="axisRow" fieldPosition="1"/>
    </format>
    <format dxfId="22">
      <pivotArea dataOnly="0" labelOnly="1" outline="0" fieldPosition="0">
        <references count="1">
          <reference field="0" count="0"/>
        </references>
      </pivotArea>
    </format>
    <format dxfId="21">
      <pivotArea dataOnly="0" labelOnly="1" outline="0" fieldPosition="0">
        <references count="2">
          <reference field="0" count="0" selected="0"/>
          <reference field="1" count="0"/>
        </references>
      </pivotArea>
    </format>
    <format dxfId="20">
      <pivotArea type="all" dataOnly="0" outline="0" fieldPosition="0"/>
    </format>
    <format dxfId="19">
      <pivotArea field="0" type="button" dataOnly="0" labelOnly="1" outline="0" axis="axisRow" fieldPosition="0"/>
    </format>
    <format dxfId="18">
      <pivotArea field="1" type="button" dataOnly="0" labelOnly="1" outline="0" axis="axisRow" fieldPosition="1"/>
    </format>
    <format dxfId="17">
      <pivotArea dataOnly="0" labelOnly="1" outline="0" fieldPosition="0">
        <references count="1">
          <reference field="0" count="0"/>
        </references>
      </pivotArea>
    </format>
    <format dxfId="16">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24" totalsRowShown="0" headerRowDxfId="30">
  <autoFilter ref="C14:E24" xr:uid="{3922B7F4-E0AF-427C-B734-6BE5EFA15B70}"/>
  <tableColumns count="3">
    <tableColumn id="1" xr3:uid="{042EFD47-16F7-40E8-9BD4-3B6502E9CBB2}" name="查核作業"/>
    <tableColumn id="2" xr3:uid="{E32D77D7-7C92-401E-ADA9-9C0C480362B1}" name="查核項目" dataDxfId="29"/>
    <tableColumn id="3" xr3:uid="{91C250F7-1402-4403-AF13-A096D91F9E0E}" name="實際執行事項說明" dataDxfId="2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27">
  <autoFilter ref="G14:I22" xr:uid="{329E37F2-7060-4171-9C82-EB3C59F05A4D}"/>
  <tableColumns count="3">
    <tableColumn id="1" xr3:uid="{833D28F1-283B-4201-B563-083D83F1D653}" name="內部控制制度" dataDxfId="26"/>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5" dataDxfId="14">
  <autoFilter ref="F4:I12" xr:uid="{572E0B5F-1AC0-418F-9071-E86C1FC47974}"/>
  <tableColumns count="4">
    <tableColumn id="4" xr3:uid="{78A544A1-6082-434E-8254-847F0BA807DD}" uniqueName="4" name="整理前查核循環" queryTableFieldId="6" dataDxfId="13"/>
    <tableColumn id="3" xr3:uid="{70B23B4C-ED83-4A60-9CAD-4FF22670F73E}" uniqueName="3" name="內部控制制度" queryTableFieldId="3" dataDxfId="12"/>
    <tableColumn id="1" xr3:uid="{9F435581-4473-4DC3-805B-4336552BA974}" uniqueName="1" name="外部法規" queryTableFieldId="1" dataDxfId="11"/>
    <tableColumn id="2" xr3:uid="{2A4C5A88-593E-4AC1-B695-E3684A84CE2E}" uniqueName="2" name="查核循環"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6" tableType="queryTable" totalsRowShown="0" headerRowDxfId="9" dataDxfId="8">
  <autoFilter ref="K4:K6" xr:uid="{AC02DC08-037F-4488-B9A9-5933D0991475}"/>
  <tableColumns count="1">
    <tableColumn id="1" xr3:uid="{8489CE2B-9D23-450B-96C6-E1C223EA739B}" uniqueName="1" name="作業清單" queryTableFieldId="1" dataDxf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E12" totalsRowShown="0" headerRowDxfId="6" dataDxfId="5">
  <autoFilter ref="A2:E12" xr:uid="{FC224517-C8DC-423D-8C10-56CD86D326A4}"/>
  <sortState xmlns:xlrd2="http://schemas.microsoft.com/office/spreadsheetml/2017/richdata2" ref="A3:E9">
    <sortCondition ref="B2:B9"/>
  </sortState>
  <tableColumns count="5">
    <tableColumn id="1" xr3:uid="{BDFB6A49-B9A8-41AE-889B-03419D217763}" name="查核作業" dataDxfId="4"/>
    <tableColumn id="6" xr3:uid="{8F5C8316-F680-4F27-BBDD-D517258C845F}" name="順序" dataDxfId="3"/>
    <tableColumn id="2" xr3:uid="{2A72019B-F2E9-4FC9-A3B1-6A6C7C694A5E}" name="查核項目" dataDxfId="2">
      <calculatedColumnFormula>工作底稿!B5</calculatedColumnFormula>
    </tableColumn>
    <tableColumn id="3" xr3:uid="{8336B2D8-F00C-41AE-81E0-796A935CDCBC}" name="查核內容" dataDxfId="1">
      <calculatedColumnFormula>工作底稿!F5</calculatedColumnFormula>
    </tableColumn>
    <tableColumn id="4" xr3:uid="{DAFB0FF4-9EB4-4320-8B23-584E708E2B8A}" name="報告內容"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s>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zoomScaleNormal="100" workbookViewId="0">
      <selection activeCell="E21" sqref="E21"/>
    </sheetView>
  </sheetViews>
  <sheetFormatPr defaultRowHeight="21.6" customHeight="1"/>
  <cols>
    <col min="1" max="1" width="6.88671875" customWidth="1"/>
    <col min="2" max="2" width="20.33203125" hidden="1" customWidth="1"/>
    <col min="3" max="3" width="30.6640625" customWidth="1"/>
    <col min="4" max="4" width="45.44140625" bestFit="1" customWidth="1"/>
    <col min="5" max="5" width="82.33203125" customWidth="1"/>
    <col min="6" max="6" width="6.88671875" customWidth="1"/>
    <col min="7" max="7" width="41.33203125" customWidth="1"/>
    <col min="8" max="8" width="48.77734375" customWidth="1"/>
    <col min="9" max="9" width="18.44140625" customWidth="1"/>
  </cols>
  <sheetData>
    <row r="1" spans="2:9" ht="22.2" customHeight="1"/>
    <row r="2" spans="2:9" ht="21.6" customHeight="1">
      <c r="C2" s="25" t="s">
        <v>39</v>
      </c>
      <c r="G2" s="24" t="s">
        <v>44</v>
      </c>
    </row>
    <row r="3" spans="2:9" ht="21.6" customHeight="1" thickBot="1">
      <c r="C3" s="22" t="s">
        <v>40</v>
      </c>
      <c r="G3" s="22" t="s">
        <v>24</v>
      </c>
    </row>
    <row r="4" spans="2:9" ht="21.6" customHeight="1">
      <c r="C4" s="59" t="s">
        <v>9</v>
      </c>
      <c r="D4" s="60" t="s">
        <v>12</v>
      </c>
      <c r="E4" s="61" t="s">
        <v>13</v>
      </c>
    </row>
    <row r="5" spans="2:9" ht="21.6" customHeight="1">
      <c r="C5" s="62" t="s">
        <v>10</v>
      </c>
      <c r="D5" s="63" t="s">
        <v>177</v>
      </c>
      <c r="E5" s="64"/>
    </row>
    <row r="6" spans="2:9" ht="21.6" customHeight="1">
      <c r="C6" s="62" t="s">
        <v>17</v>
      </c>
      <c r="D6" s="63" t="str">
        <f>C6&amp;"："&amp;"111年01月01日~" &amp;RIGHT(D5,10)</f>
        <v>查核範圍期間：111年01月01日~111年09月31日</v>
      </c>
      <c r="E6" s="64"/>
    </row>
    <row r="7" spans="2:9" ht="21.6" customHeight="1">
      <c r="C7" s="62" t="s">
        <v>11</v>
      </c>
      <c r="D7" s="63" t="str">
        <f ca="1">"中華民國"&amp;YEAR(TODAY())-1911&amp;"年" &amp; MONTH(TODAY()) &amp; "月" &amp; DAY(TODAY()) &amp; "日"</f>
        <v>中華民國111年11月7日</v>
      </c>
      <c r="E7" s="64"/>
    </row>
    <row r="8" spans="2:9" ht="21.6" customHeight="1">
      <c r="C8" s="62" t="s">
        <v>14</v>
      </c>
      <c r="D8" s="63" t="s">
        <v>110</v>
      </c>
      <c r="E8" s="64"/>
    </row>
    <row r="9" spans="2:9" ht="21.6" customHeight="1">
      <c r="C9" s="65" t="s">
        <v>112</v>
      </c>
      <c r="D9" s="66" t="str">
        <f>C9&amp;"："&amp;"111年  月  日~"&amp;"111年  月  日"</f>
        <v>查核期間：111年  月  日~111年  月  日</v>
      </c>
      <c r="E9" s="67"/>
    </row>
    <row r="10" spans="2:9" ht="34.200000000000003" customHeight="1" thickBot="1">
      <c r="C10" s="68" t="s">
        <v>56</v>
      </c>
      <c r="D10" s="69" t="b">
        <v>1</v>
      </c>
      <c r="E10" s="70"/>
    </row>
    <row r="11" spans="2:9" ht="39.6" customHeight="1"/>
    <row r="12" spans="2:9" ht="21.6" customHeight="1">
      <c r="C12" s="25" t="s">
        <v>41</v>
      </c>
      <c r="G12" s="23" t="s">
        <v>38</v>
      </c>
    </row>
    <row r="13" spans="2:9" ht="36.6" customHeight="1">
      <c r="C13" s="89" t="s">
        <v>142</v>
      </c>
      <c r="D13" s="89"/>
      <c r="E13" s="89"/>
      <c r="G13" s="3" t="s">
        <v>25</v>
      </c>
    </row>
    <row r="14" spans="2:9" ht="21.6" customHeight="1">
      <c r="C14" s="3" t="s">
        <v>20</v>
      </c>
      <c r="D14" s="3" t="s">
        <v>21</v>
      </c>
      <c r="E14" s="9" t="s">
        <v>6</v>
      </c>
      <c r="G14" s="3" t="s">
        <v>29</v>
      </c>
      <c r="H14" s="3" t="s">
        <v>31</v>
      </c>
      <c r="I14" s="3" t="s">
        <v>43</v>
      </c>
    </row>
    <row r="15" spans="2:9" ht="16.2">
      <c r="B15" t="str">
        <f>Temporary!N5&amp;Temporary!R5&amp;Temporary!O5</f>
        <v>(一)</v>
      </c>
      <c r="C15" s="4" t="s">
        <v>135</v>
      </c>
      <c r="D15" s="6" t="s">
        <v>103</v>
      </c>
      <c r="E15" s="6"/>
      <c r="G15" s="54" t="s">
        <v>115</v>
      </c>
      <c r="H15" s="4" t="s">
        <v>34</v>
      </c>
      <c r="I15" s="4" t="s">
        <v>114</v>
      </c>
    </row>
    <row r="16" spans="2:9" ht="16.2">
      <c r="B16" t="str">
        <f>Temporary!N6&amp;Temporary!R6&amp;Temporary!O6</f>
        <v>(二)</v>
      </c>
      <c r="D16" s="6" t="s">
        <v>104</v>
      </c>
      <c r="E16" s="6"/>
      <c r="G16" s="54" t="s">
        <v>116</v>
      </c>
      <c r="H16" s="4" t="s">
        <v>32</v>
      </c>
    </row>
    <row r="17" spans="2:8" ht="28.8">
      <c r="B17" t="str">
        <f>Temporary!N7&amp;Temporary!R7&amp;Temporary!O7</f>
        <v>(三)</v>
      </c>
      <c r="D17" s="6" t="s">
        <v>105</v>
      </c>
      <c r="E17" s="6"/>
      <c r="G17" s="54" t="s">
        <v>117</v>
      </c>
      <c r="H17" s="4" t="s">
        <v>33</v>
      </c>
    </row>
    <row r="18" spans="2:8" ht="28.8">
      <c r="B18" t="str">
        <f>Temporary!N8&amp;Temporary!R8&amp;Temporary!O8</f>
        <v>(四)</v>
      </c>
      <c r="D18" s="6" t="s">
        <v>106</v>
      </c>
      <c r="E18" s="6"/>
      <c r="G18" s="54" t="s">
        <v>118</v>
      </c>
    </row>
    <row r="19" spans="2:8" ht="43.2">
      <c r="B19" t="str">
        <f>Temporary!N9&amp;Temporary!R9&amp;Temporary!O9</f>
        <v>(五)</v>
      </c>
      <c r="D19" s="57" t="s">
        <v>178</v>
      </c>
      <c r="E19" s="6"/>
      <c r="G19" s="54" t="s">
        <v>119</v>
      </c>
    </row>
    <row r="20" spans="2:8" ht="105">
      <c r="B20" t="str">
        <f>Temporary!N10&amp;Temporary!R10&amp;Temporary!O10</f>
        <v>(六)</v>
      </c>
      <c r="C20" s="4" t="s">
        <v>137</v>
      </c>
      <c r="D20" s="57" t="s">
        <v>132</v>
      </c>
      <c r="E20" s="9" t="s">
        <v>191</v>
      </c>
      <c r="G20" s="54" t="s">
        <v>120</v>
      </c>
    </row>
    <row r="21" spans="2:8" ht="45">
      <c r="B21" t="str">
        <f>Temporary!N11&amp;Temporary!R11&amp;Temporary!O11</f>
        <v>(七)</v>
      </c>
      <c r="D21" s="57" t="s">
        <v>141</v>
      </c>
      <c r="E21" s="85" t="s">
        <v>192</v>
      </c>
      <c r="G21" s="54" t="s">
        <v>121</v>
      </c>
    </row>
    <row r="22" spans="2:8" ht="105">
      <c r="B22" t="str">
        <f>Temporary!N12&amp;Temporary!R12&amp;Temporary!O12</f>
        <v>(八)</v>
      </c>
      <c r="D22" s="57" t="s">
        <v>133</v>
      </c>
      <c r="E22" s="85" t="s">
        <v>190</v>
      </c>
      <c r="G22" s="54" t="s">
        <v>122</v>
      </c>
    </row>
    <row r="23" spans="2:8" ht="43.2">
      <c r="B23" t="str">
        <f>Temporary!N13&amp;Temporary!R13&amp;Temporary!O13</f>
        <v>(九)</v>
      </c>
      <c r="D23" s="57" t="s">
        <v>139</v>
      </c>
      <c r="E23" s="57" t="s">
        <v>193</v>
      </c>
    </row>
    <row r="24" spans="2:8" ht="58.8">
      <c r="B24" t="str">
        <f>Temporary!N14&amp;Temporary!R14&amp;Temporary!O14</f>
        <v>(十)</v>
      </c>
      <c r="D24" s="6" t="s">
        <v>22</v>
      </c>
      <c r="E24" s="84" t="s">
        <v>194</v>
      </c>
    </row>
    <row r="25" spans="2:8" ht="14.4">
      <c r="B25" t="str">
        <f>Temporary!N15&amp;Temporary!R15&amp;Temporary!O15</f>
        <v>(十一)</v>
      </c>
    </row>
    <row r="26" spans="2:8" ht="14.4">
      <c r="B26" t="str">
        <f>Temporary!N16&amp;Temporary!R16&amp;Temporary!O16</f>
        <v>(十二)</v>
      </c>
    </row>
    <row r="27" spans="2:8" ht="14.4">
      <c r="B27" t="str">
        <f>Temporary!N17&amp;Temporary!R17&amp;Temporary!O17</f>
        <v>(十三)</v>
      </c>
    </row>
    <row r="28" spans="2:8" ht="14.4">
      <c r="B28" t="str">
        <f>Temporary!N18&amp;Temporary!R18&amp;Temporary!O18</f>
        <v>(十四)</v>
      </c>
    </row>
    <row r="29" spans="2:8" ht="14.4">
      <c r="B29" t="str">
        <f>Temporary!N19&amp;Temporary!R19&amp;Temporary!O19</f>
        <v>(十五)</v>
      </c>
    </row>
    <row r="30" spans="2:8" ht="64.8" customHeight="1">
      <c r="B30" t="str">
        <f>Temporary!N20&amp;Temporary!R20&amp;Temporary!O20</f>
        <v>(十六)</v>
      </c>
      <c r="G30" s="4"/>
    </row>
    <row r="31" spans="2:8" ht="14.4">
      <c r="B31" t="str">
        <f>Temporary!N21&amp;Temporary!R21&amp;Temporary!O21</f>
        <v>(十七)</v>
      </c>
    </row>
    <row r="32" spans="2:8" ht="72.599999999999994" customHeight="1">
      <c r="B32" t="str">
        <f>Temporary!N22&amp;Temporary!R22&amp;Temporary!O22</f>
        <v>(十八)</v>
      </c>
    </row>
    <row r="33" spans="2:2" ht="62.4" customHeight="1">
      <c r="B33" t="str">
        <f>Temporary!N23&amp;Temporary!R23&amp;Temporary!O23</f>
        <v>(十九)</v>
      </c>
    </row>
    <row r="34" spans="2:2" ht="21.6" customHeight="1">
      <c r="B34" t="str">
        <f>Temporary!N24&amp;Temporary!R24&amp;Temporary!O24</f>
        <v>(二十)</v>
      </c>
    </row>
    <row r="35" spans="2:2" ht="21.6" customHeight="1">
      <c r="B35" t="str">
        <f>Temporary!N25&amp;Temporary!R25&amp;Temporary!O25</f>
        <v/>
      </c>
    </row>
    <row r="36" spans="2:2" ht="21.6" customHeight="1">
      <c r="B36" t="str">
        <f>Temporary!N26&amp;Temporary!R26&amp;Temporary!O26</f>
        <v/>
      </c>
    </row>
    <row r="37" spans="2:2" ht="21.6" customHeight="1">
      <c r="B37" t="str">
        <f>Temporary!N27&amp;Temporary!R27&amp;Temporary!O27</f>
        <v/>
      </c>
    </row>
    <row r="38" spans="2:2" ht="21.6" customHeight="1">
      <c r="B38" t="str">
        <f>Temporary!N28&amp;Temporary!R28&amp;Temporary!O28</f>
        <v/>
      </c>
    </row>
    <row r="39" spans="2:2" ht="21.6" customHeight="1">
      <c r="B39" t="str">
        <f>Temporary!N29&amp;Temporary!R29&amp;Temporary!O29</f>
        <v/>
      </c>
    </row>
    <row r="40" spans="2:2" ht="21.6" customHeight="1">
      <c r="B40" t="str">
        <f>Temporary!N30&amp;Temporary!R30&amp;Temporary!O30</f>
        <v/>
      </c>
    </row>
    <row r="41" spans="2:2" ht="21.6" customHeight="1">
      <c r="B41" t="str">
        <f>Temporary!N31&amp;Temporary!R31&amp;Temporary!O31</f>
        <v/>
      </c>
    </row>
    <row r="42" spans="2:2" ht="21.6" customHeight="1">
      <c r="B42" t="str">
        <f>Temporary!N32&amp;Temporary!R32&amp;Temporary!O32</f>
        <v/>
      </c>
    </row>
    <row r="43" spans="2:2" ht="21.6" customHeight="1">
      <c r="B43" t="str">
        <f>Temporary!N33&amp;Temporary!R33&amp;Temporary!O33</f>
        <v/>
      </c>
    </row>
    <row r="44" spans="2:2" ht="21.6" customHeight="1">
      <c r="B44" t="str">
        <f>Temporary!N34&amp;Temporary!R34&amp;Temporary!O34</f>
        <v/>
      </c>
    </row>
    <row r="45" spans="2:2" ht="21.6" customHeight="1">
      <c r="B45" t="str">
        <f>Temporary!N35&amp;Temporary!R35&amp;Temporary!O35</f>
        <v/>
      </c>
    </row>
    <row r="46" spans="2:2" ht="21.6" customHeight="1">
      <c r="B46" t="str">
        <f>Temporary!N36&amp;Temporary!R36&amp;Temporary!O36</f>
        <v/>
      </c>
    </row>
    <row r="47" spans="2:2" ht="21.6" customHeight="1">
      <c r="B47" t="str">
        <f>Temporary!N37&amp;Temporary!R37&amp;Temporary!O37</f>
        <v/>
      </c>
    </row>
    <row r="48" spans="2:2" ht="21.6" customHeight="1">
      <c r="B48" t="str">
        <f>Temporary!N38&amp;Temporary!R38&amp;Temporary!O38</f>
        <v/>
      </c>
    </row>
    <row r="49" spans="2:2" ht="21.6" customHeight="1">
      <c r="B49" t="str">
        <f>Temporary!N39&amp;Temporary!R39&amp;Temporary!O39</f>
        <v/>
      </c>
    </row>
    <row r="50" spans="2:2" ht="21.6" customHeight="1">
      <c r="B50" t="str">
        <f>Temporary!N40&amp;Temporary!R40&amp;Temporary!O40</f>
        <v/>
      </c>
    </row>
    <row r="51" spans="2:2" ht="21.6" customHeight="1">
      <c r="B51" t="str">
        <f>Temporary!N41&amp;Temporary!R41&amp;Temporary!O41</f>
        <v/>
      </c>
    </row>
    <row r="52" spans="2:2" ht="21.6" customHeight="1">
      <c r="B52" t="str">
        <f>Temporary!N42&amp;Temporary!R42&amp;Temporary!O42</f>
        <v/>
      </c>
    </row>
    <row r="53" spans="2:2" ht="21.6" customHeight="1">
      <c r="B53" t="str">
        <f>Temporary!N43&amp;Temporary!R43&amp;Temporary!O43</f>
        <v/>
      </c>
    </row>
    <row r="54" spans="2:2" ht="21.6" customHeight="1">
      <c r="B54" t="str">
        <f>Temporary!N44&amp;Temporary!R44&amp;Temporary!O44</f>
        <v/>
      </c>
    </row>
    <row r="55" spans="2:2" ht="21.6" customHeight="1">
      <c r="B55" t="str">
        <f>Temporary!N45&amp;Temporary!R45&amp;Temporary!O45</f>
        <v/>
      </c>
    </row>
    <row r="56" spans="2:2" ht="21.6" customHeight="1">
      <c r="B56" t="str">
        <f>Temporary!N46&amp;Temporary!R46&amp;Temporary!O46</f>
        <v/>
      </c>
    </row>
    <row r="57" spans="2:2" ht="21.6" customHeight="1">
      <c r="B57" t="str">
        <f>Temporary!N47&amp;Temporary!R47&amp;Temporary!O47</f>
        <v/>
      </c>
    </row>
    <row r="58" spans="2:2" ht="21.6" customHeight="1">
      <c r="B58" t="str">
        <f>Temporary!N48&amp;Temporary!R48&amp;Temporary!O48</f>
        <v/>
      </c>
    </row>
    <row r="59" spans="2:2" ht="21.6" customHeight="1">
      <c r="B59" t="str">
        <f>Temporary!N49&amp;Temporary!R49&amp;Temporary!O49</f>
        <v/>
      </c>
    </row>
    <row r="60" spans="2:2" ht="21.6" customHeight="1">
      <c r="B60" t="str">
        <f>Temporary!N50&amp;Temporary!R50&amp;Temporary!O50</f>
        <v/>
      </c>
    </row>
    <row r="61" spans="2:2" ht="21.6" customHeight="1">
      <c r="B61" t="str">
        <f>Temporary!N51&amp;Temporary!R51&amp;Temporary!O51</f>
        <v/>
      </c>
    </row>
    <row r="62" spans="2:2" ht="21.6" customHeight="1">
      <c r="B62" t="str">
        <f>Temporary!N52&amp;Temporary!R52&amp;Temporary!O52</f>
        <v/>
      </c>
    </row>
    <row r="63" spans="2:2" ht="21.6" customHeight="1">
      <c r="B63" t="str">
        <f>Temporary!N53&amp;Temporary!R53&amp;Temporary!O53</f>
        <v/>
      </c>
    </row>
    <row r="64" spans="2:2" ht="21.6" customHeight="1">
      <c r="B64" t="str">
        <f>Temporary!N54&amp;Temporary!R54&amp;Temporary!O54</f>
        <v/>
      </c>
    </row>
    <row r="65" spans="2:2" ht="21.6" customHeight="1">
      <c r="B65" t="str">
        <f>Temporary!N55&amp;Temporary!R55&amp;Temporary!O55</f>
        <v/>
      </c>
    </row>
    <row r="66" spans="2:2" ht="21.6" customHeight="1">
      <c r="B66" t="str">
        <f>Temporary!N56&amp;Temporary!R56&amp;Temporary!O56</f>
        <v/>
      </c>
    </row>
    <row r="67" spans="2:2" ht="21.6" customHeight="1">
      <c r="B67" t="str">
        <f>Temporary!N57&amp;Temporary!R57&amp;Temporary!O57</f>
        <v/>
      </c>
    </row>
    <row r="68" spans="2:2" ht="21.6" customHeight="1">
      <c r="B68" t="str">
        <f>Temporary!N58&amp;Temporary!R58&amp;Temporary!O58</f>
        <v/>
      </c>
    </row>
    <row r="69" spans="2:2" ht="21.6" customHeight="1">
      <c r="B69" t="str">
        <f>Temporary!N59&amp;Temporary!R59&amp;Temporary!O59</f>
        <v/>
      </c>
    </row>
    <row r="70" spans="2:2" ht="21.6" customHeight="1">
      <c r="B70" t="str">
        <f>Temporary!N60&amp;Temporary!R60&amp;Temporary!O60</f>
        <v/>
      </c>
    </row>
    <row r="71" spans="2:2" ht="21.6" customHeight="1">
      <c r="B71" t="str">
        <f>Temporary!N61&amp;Temporary!R61&amp;Temporary!O61</f>
        <v/>
      </c>
    </row>
    <row r="72" spans="2:2" ht="21.6" customHeight="1">
      <c r="B72" t="str">
        <f>Temporary!N62&amp;Temporary!R62&amp;Temporary!O62</f>
        <v/>
      </c>
    </row>
    <row r="73" spans="2:2" ht="21.6" customHeight="1">
      <c r="B73" t="str">
        <f>Temporary!N63&amp;Temporary!R63&amp;Temporary!O63</f>
        <v/>
      </c>
    </row>
    <row r="74" spans="2:2" ht="21.6" customHeight="1">
      <c r="B74" t="str">
        <f>Temporary!N64&amp;Temporary!R64&amp;Temporary!O64</f>
        <v/>
      </c>
    </row>
    <row r="75" spans="2:2" ht="21.6" customHeight="1">
      <c r="B75" t="str">
        <f>Temporary!N65&amp;Temporary!R65&amp;Temporary!O65</f>
        <v/>
      </c>
    </row>
    <row r="76" spans="2:2" ht="21.6" customHeight="1">
      <c r="B76" t="str">
        <f>Temporary!N66&amp;Temporary!R66&amp;Temporary!O66</f>
        <v/>
      </c>
    </row>
    <row r="77" spans="2:2" ht="21.6" customHeight="1">
      <c r="B77" t="str">
        <f>Temporary!N67&amp;Temporary!R67&amp;Temporary!O67</f>
        <v/>
      </c>
    </row>
    <row r="78" spans="2:2" ht="21.6" customHeight="1">
      <c r="B78" t="str">
        <f>Temporary!N68&amp;Temporary!R68&amp;Temporary!O68</f>
        <v/>
      </c>
    </row>
    <row r="79" spans="2:2" ht="21.6" customHeight="1">
      <c r="B79" t="str">
        <f>Temporary!N69&amp;Temporary!R69&amp;Temporary!O69</f>
        <v/>
      </c>
    </row>
    <row r="80" spans="2:2" ht="21.6" customHeight="1">
      <c r="B80" t="str">
        <f>Temporary!N70&amp;Temporary!R70&amp;Temporary!O70</f>
        <v/>
      </c>
    </row>
    <row r="81" spans="2:2" ht="21.6" customHeight="1">
      <c r="B81" t="str">
        <f>Temporary!N71&amp;Temporary!R71&amp;Temporary!O71</f>
        <v/>
      </c>
    </row>
    <row r="82" spans="2:2" ht="21.6" customHeight="1">
      <c r="B82" t="str">
        <f>Temporary!N72&amp;Temporary!R72&amp;Temporary!O72</f>
        <v/>
      </c>
    </row>
    <row r="83" spans="2:2" ht="21.6" customHeight="1">
      <c r="B83" t="str">
        <f>Temporary!N73&amp;Temporary!R73&amp;Temporary!O73</f>
        <v/>
      </c>
    </row>
    <row r="84" spans="2:2" ht="21.6" customHeight="1">
      <c r="B84" t="str">
        <f>Temporary!N74&amp;Temporary!R74&amp;Temporary!O74</f>
        <v/>
      </c>
    </row>
    <row r="85" spans="2:2" ht="21.6" customHeight="1">
      <c r="B85" t="str">
        <f>Temporary!N75&amp;Temporary!R75&amp;Temporary!O75</f>
        <v/>
      </c>
    </row>
    <row r="86" spans="2:2" ht="21.6" customHeight="1">
      <c r="B86" t="str">
        <f>Temporary!N76&amp;Temporary!R76&amp;Temporary!O76</f>
        <v/>
      </c>
    </row>
    <row r="87" spans="2:2" ht="21.6" customHeight="1">
      <c r="B87" t="str">
        <f>Temporary!N77&amp;Temporary!R77&amp;Temporary!O77</f>
        <v/>
      </c>
    </row>
    <row r="88" spans="2:2" ht="21.6" customHeight="1">
      <c r="B88" t="str">
        <f>Temporary!N78&amp;Temporary!R78&amp;Temporary!O78</f>
        <v/>
      </c>
    </row>
    <row r="89" spans="2:2" ht="21.6" customHeight="1">
      <c r="B89" t="str">
        <f>Temporary!N79&amp;Temporary!R79&amp;Temporary!O79</f>
        <v/>
      </c>
    </row>
    <row r="90" spans="2:2" ht="21.6" customHeight="1">
      <c r="B90" t="str">
        <f>Temporary!N80&amp;Temporary!R80&amp;Temporary!O80</f>
        <v/>
      </c>
    </row>
    <row r="91" spans="2:2" ht="21.6" customHeight="1">
      <c r="B91" t="str">
        <f>Temporary!N81&amp;Temporary!R81&amp;Temporary!O81</f>
        <v/>
      </c>
    </row>
    <row r="92" spans="2:2" ht="21.6" customHeight="1">
      <c r="B92" t="str">
        <f>Temporary!N82&amp;Temporary!R82&amp;Temporary!O82</f>
        <v/>
      </c>
    </row>
    <row r="93" spans="2:2" ht="21.6" customHeight="1">
      <c r="B93" t="str">
        <f>Temporary!N83&amp;Temporary!R83&amp;Temporary!O83</f>
        <v/>
      </c>
    </row>
    <row r="94" spans="2:2" ht="21.6" customHeight="1">
      <c r="B94" t="str">
        <f>Temporary!N84&amp;Temporary!R84&amp;Temporary!O84</f>
        <v/>
      </c>
    </row>
    <row r="95" spans="2:2" ht="21.6" customHeight="1">
      <c r="B95" t="str">
        <f>Temporary!N85&amp;Temporary!R85&amp;Temporary!O85</f>
        <v/>
      </c>
    </row>
    <row r="96" spans="2:2" ht="21.6" customHeight="1">
      <c r="B96" t="str">
        <f>Temporary!N86&amp;Temporary!R86&amp;Temporary!O86</f>
        <v/>
      </c>
    </row>
    <row r="97" spans="2:2" ht="21.6" customHeight="1">
      <c r="B97" t="str">
        <f>Temporary!N87&amp;Temporary!R87&amp;Temporary!O87</f>
        <v/>
      </c>
    </row>
    <row r="98" spans="2:2" ht="21.6" customHeight="1">
      <c r="B98" t="str">
        <f>Temporary!N88&amp;Temporary!R88&amp;Temporary!O88</f>
        <v/>
      </c>
    </row>
    <row r="99" spans="2:2" ht="21.6" customHeight="1">
      <c r="B99" t="str">
        <f>Temporary!N89&amp;Temporary!R89&amp;Temporary!O89</f>
        <v/>
      </c>
    </row>
    <row r="100" spans="2:2" ht="21.6" customHeight="1">
      <c r="B100" t="str">
        <f>Temporary!N90&amp;Temporary!R90&amp;Temporary!O90</f>
        <v/>
      </c>
    </row>
    <row r="101" spans="2:2" ht="21.6" customHeight="1">
      <c r="B101" t="str">
        <f>Temporary!N91&amp;Temporary!R91&amp;Temporary!O91</f>
        <v/>
      </c>
    </row>
    <row r="102" spans="2:2" ht="21.6" customHeight="1">
      <c r="B102" t="str">
        <f>Temporary!N92&amp;Temporary!R92&amp;Temporary!O92</f>
        <v/>
      </c>
    </row>
    <row r="103" spans="2:2" ht="21.6" customHeight="1">
      <c r="B103" t="str">
        <f>Temporary!N93&amp;Temporary!R93&amp;Temporary!O93</f>
        <v/>
      </c>
    </row>
    <row r="104" spans="2:2" ht="21.6" customHeight="1">
      <c r="B104" t="str">
        <f>Temporary!N94&amp;Temporary!R94&amp;Temporary!O94</f>
        <v/>
      </c>
    </row>
    <row r="105" spans="2:2" ht="21.6" customHeight="1">
      <c r="B105" t="str">
        <f>Temporary!N95&amp;Temporary!R95&amp;Temporary!O95</f>
        <v/>
      </c>
    </row>
    <row r="106" spans="2:2" ht="21.6" customHeight="1">
      <c r="B106" t="str">
        <f>Temporary!N96&amp;Temporary!R96&amp;Temporary!O96</f>
        <v/>
      </c>
    </row>
    <row r="107" spans="2:2" ht="21.6" customHeight="1">
      <c r="B107" t="str">
        <f>Temporary!N97&amp;Temporary!R97&amp;Temporary!O97</f>
        <v/>
      </c>
    </row>
    <row r="108" spans="2:2" ht="21.6" customHeight="1">
      <c r="B108" t="str">
        <f>Temporary!N98&amp;Temporary!R98&amp;Temporary!O98</f>
        <v/>
      </c>
    </row>
    <row r="109" spans="2:2" ht="21.6" customHeight="1">
      <c r="B109" t="str">
        <f>Temporary!N99&amp;Temporary!R99&amp;Temporary!O99</f>
        <v/>
      </c>
    </row>
    <row r="110" spans="2:2" ht="21.6" customHeight="1">
      <c r="B110" t="str">
        <f>Temporary!N100&amp;Temporary!R100&amp;Temporary!O100</f>
        <v/>
      </c>
    </row>
    <row r="111" spans="2:2" ht="21.6" customHeight="1">
      <c r="B111" t="str">
        <f>Temporary!N101&amp;Temporary!R101&amp;Temporary!O101</f>
        <v/>
      </c>
    </row>
    <row r="112" spans="2:2" ht="21.6" customHeight="1">
      <c r="B112" t="str">
        <f>Temporary!N102&amp;Temporary!R102&amp;Temporary!O102</f>
        <v/>
      </c>
    </row>
    <row r="113" spans="2:2" ht="21.6" customHeight="1">
      <c r="B113" t="str">
        <f>Temporary!N103&amp;Temporary!R103&amp;Temporary!O103</f>
        <v/>
      </c>
    </row>
    <row r="114" spans="2:2" ht="21.6" customHeight="1">
      <c r="B114" t="str">
        <f>Temporary!N104&amp;Temporary!R104&amp;Temporary!O104</f>
        <v/>
      </c>
    </row>
    <row r="115" spans="2:2" ht="21.6" customHeight="1">
      <c r="B115" t="str">
        <f>Temporary!N105&amp;Temporary!R105&amp;Temporary!O105</f>
        <v/>
      </c>
    </row>
    <row r="116" spans="2:2" ht="21.6" customHeight="1">
      <c r="B116" t="str">
        <f>Temporary!N106&amp;Temporary!R106&amp;Temporary!O106</f>
        <v/>
      </c>
    </row>
    <row r="117" spans="2:2" ht="21.6" customHeight="1">
      <c r="B117" t="str">
        <f>Temporary!N107&amp;Temporary!R107&amp;Temporary!O107</f>
        <v/>
      </c>
    </row>
    <row r="118" spans="2:2" ht="21.6" customHeight="1">
      <c r="B118" t="str">
        <f>Temporary!N108&amp;Temporary!R108&amp;Temporary!O108</f>
        <v/>
      </c>
    </row>
    <row r="119" spans="2:2" ht="21.6" customHeight="1">
      <c r="B119" t="str">
        <f>Temporary!N109&amp;Temporary!R109&amp;Temporary!O109</f>
        <v/>
      </c>
    </row>
    <row r="120" spans="2:2" ht="21.6" customHeight="1">
      <c r="B120" t="str">
        <f>Temporary!N110&amp;Temporary!R110&amp;Temporary!O110</f>
        <v/>
      </c>
    </row>
    <row r="121" spans="2:2" ht="21.6" customHeight="1">
      <c r="B121" t="str">
        <f>Temporary!N111&amp;Temporary!R111&amp;Temporary!O111</f>
        <v/>
      </c>
    </row>
    <row r="122" spans="2:2" ht="21.6" customHeight="1">
      <c r="B122" t="str">
        <f>Temporary!N112&amp;Temporary!R112&amp;Temporary!O112</f>
        <v/>
      </c>
    </row>
    <row r="123" spans="2:2" ht="21.6" customHeight="1">
      <c r="B123" t="str">
        <f>Temporary!N113&amp;Temporary!R113&amp;Temporary!O113</f>
        <v/>
      </c>
    </row>
    <row r="124" spans="2:2" ht="21.6" customHeight="1">
      <c r="B124" t="str">
        <f>Temporary!N114&amp;Temporary!R114&amp;Temporary!O114</f>
        <v/>
      </c>
    </row>
    <row r="125" spans="2:2" ht="21.6" customHeight="1">
      <c r="B125" t="str">
        <f>Temporary!N115&amp;Temporary!R115&amp;Temporary!O115</f>
        <v/>
      </c>
    </row>
    <row r="126" spans="2:2" ht="21.6" customHeight="1">
      <c r="B126" t="str">
        <f>Temporary!N116&amp;Temporary!R116&amp;Temporary!O116</f>
        <v/>
      </c>
    </row>
    <row r="127" spans="2:2" ht="21.6" customHeight="1">
      <c r="B127" t="str">
        <f>Temporary!N117&amp;Temporary!R117&amp;Temporary!O117</f>
        <v/>
      </c>
    </row>
    <row r="128" spans="2:2" ht="21.6" customHeight="1">
      <c r="B128" t="str">
        <f>Temporary!N118&amp;Temporary!R118&amp;Temporary!O118</f>
        <v/>
      </c>
    </row>
    <row r="129" spans="2:2" ht="21.6" customHeight="1">
      <c r="B129" t="str">
        <f>Temporary!N119&amp;Temporary!R119&amp;Temporary!O119</f>
        <v/>
      </c>
    </row>
    <row r="130" spans="2:2" ht="21.6" customHeight="1">
      <c r="B130" t="str">
        <f>Temporary!N120&amp;Temporary!R120&amp;Temporary!O120</f>
        <v/>
      </c>
    </row>
    <row r="131" spans="2:2" ht="21.6" customHeight="1">
      <c r="B131" t="str">
        <f>Temporary!N121&amp;Temporary!R121&amp;Temporary!O121</f>
        <v/>
      </c>
    </row>
    <row r="132" spans="2:2" ht="21.6" customHeight="1">
      <c r="B132" t="str">
        <f>Temporary!N122&amp;Temporary!R122&amp;Temporary!O122</f>
        <v/>
      </c>
    </row>
    <row r="133" spans="2:2" ht="21.6" customHeight="1">
      <c r="B133" t="str">
        <f>Temporary!N123&amp;Temporary!R123&amp;Temporary!O123</f>
        <v/>
      </c>
    </row>
    <row r="134" spans="2:2" ht="21.6" customHeight="1">
      <c r="B134" t="str">
        <f>Temporary!N124&amp;Temporary!R124&amp;Temporary!O124</f>
        <v/>
      </c>
    </row>
  </sheetData>
  <mergeCells count="1">
    <mergeCell ref="C13:E13"/>
  </mergeCells>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137160</xdr:colOff>
                    <xdr:row>3</xdr:row>
                    <xdr:rowOff>60960</xdr:rowOff>
                  </from>
                  <to>
                    <xdr:col>6</xdr:col>
                    <xdr:colOff>1821180</xdr:colOff>
                    <xdr:row>5</xdr:row>
                    <xdr:rowOff>175260</xdr:rowOff>
                  </to>
                </anchor>
              </controlPr>
            </control>
          </mc:Choice>
        </mc:AlternateContent>
        <mc:AlternateContent xmlns:mc="http://schemas.openxmlformats.org/markup-compatibility/2006">
          <mc:Choice Requires="x14">
            <control shapeId="2052" r:id="rId5" name="Button 4">
              <controlPr defaultSize="0" print="0" autoFill="0" autoPict="0" macro="[0]!另存調閱清單">
                <anchor moveWithCells="1" sizeWithCells="1">
                  <from>
                    <xdr:col>4</xdr:col>
                    <xdr:colOff>45720</xdr:colOff>
                    <xdr:row>11</xdr:row>
                    <xdr:rowOff>38100</xdr:rowOff>
                  </from>
                  <to>
                    <xdr:col>4</xdr:col>
                    <xdr:colOff>1447800</xdr:colOff>
                    <xdr:row>12</xdr:row>
                    <xdr:rowOff>228600</xdr:rowOff>
                  </to>
                </anchor>
              </controlPr>
            </control>
          </mc:Choice>
        </mc:AlternateContent>
        <mc:AlternateContent xmlns:mc="http://schemas.openxmlformats.org/markup-compatibility/2006">
          <mc:Choice Requires="x14">
            <control shapeId="2053" r:id="rId6" name="Button 5">
              <controlPr defaultSize="0" print="0" autoFill="0" autoPict="0" macro="[0]!另存稽核報告">
                <anchor moveWithCells="1" sizeWithCells="1">
                  <from>
                    <xdr:col>7</xdr:col>
                    <xdr:colOff>2560320</xdr:colOff>
                    <xdr:row>11</xdr:row>
                    <xdr:rowOff>68580</xdr:rowOff>
                  </from>
                  <to>
                    <xdr:col>8</xdr:col>
                    <xdr:colOff>617220</xdr:colOff>
                    <xdr:row>12</xdr:row>
                    <xdr:rowOff>259080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workbookViewId="0">
      <selection sqref="A1:B1048576"/>
    </sheetView>
  </sheetViews>
  <sheetFormatPr defaultRowHeight="16.2"/>
  <cols>
    <col min="1" max="1" width="24.5546875" style="14" customWidth="1"/>
    <col min="2" max="2" width="143.21875" style="14" bestFit="1" customWidth="1"/>
    <col min="3" max="3" width="8.88671875" style="14" customWidth="1"/>
    <col min="4" max="4" width="41.5546875" style="11" customWidth="1"/>
    <col min="5" max="5" width="8.88671875" style="14"/>
    <col min="6" max="6" width="19.33203125" style="14" bestFit="1" customWidth="1"/>
    <col min="7" max="7" width="52.33203125" style="14" bestFit="1" customWidth="1"/>
    <col min="8" max="8" width="58.33203125" style="14" bestFit="1" customWidth="1"/>
    <col min="9" max="9" width="23.33203125" style="14" bestFit="1" customWidth="1"/>
    <col min="10" max="10" width="7.77734375" style="14" bestFit="1" customWidth="1"/>
    <col min="11" max="11" width="25.6640625" style="14" bestFit="1" customWidth="1"/>
    <col min="12" max="12" width="9" style="14" customWidth="1"/>
    <col min="13" max="13" width="8.88671875" style="14"/>
    <col min="14" max="14" width="10.44140625" style="14" bestFit="1" customWidth="1"/>
    <col min="15" max="18" width="8.88671875" style="14"/>
    <col min="19" max="19" width="8.88671875" style="41"/>
    <col min="20" max="16384" width="8.88671875" style="14"/>
  </cols>
  <sheetData>
    <row r="1" spans="1:20">
      <c r="A1" s="13" t="s">
        <v>23</v>
      </c>
      <c r="B1" s="13" t="s">
        <v>3</v>
      </c>
    </row>
    <row r="2" spans="1:20" ht="16.8" thickBot="1">
      <c r="A2" s="14" t="s">
        <v>136</v>
      </c>
    </row>
    <row r="3" spans="1:20" ht="16.8" thickBot="1">
      <c r="B3" s="14" t="s">
        <v>109</v>
      </c>
      <c r="N3" s="31" t="s">
        <v>92</v>
      </c>
    </row>
    <row r="4" spans="1:20" ht="16.8" thickBot="1">
      <c r="B4" s="14" t="s">
        <v>108</v>
      </c>
      <c r="D4" s="11" t="s">
        <v>51</v>
      </c>
      <c r="F4" t="s">
        <v>49</v>
      </c>
      <c r="G4" s="14" t="s">
        <v>28</v>
      </c>
      <c r="H4" s="14" t="s">
        <v>30</v>
      </c>
      <c r="I4" s="14" t="s">
        <v>42</v>
      </c>
      <c r="J4"/>
      <c r="K4" s="14" t="s">
        <v>26</v>
      </c>
      <c r="N4" s="32" t="s">
        <v>76</v>
      </c>
      <c r="O4" s="33" t="s">
        <v>77</v>
      </c>
      <c r="P4" s="33" t="s">
        <v>78</v>
      </c>
      <c r="Q4" s="33" t="s">
        <v>79</v>
      </c>
      <c r="R4" s="33" t="s">
        <v>73</v>
      </c>
      <c r="S4" s="44" t="s">
        <v>80</v>
      </c>
      <c r="T4" s="34" t="s">
        <v>99</v>
      </c>
    </row>
    <row r="5" spans="1:20">
      <c r="B5" s="14" t="s">
        <v>22</v>
      </c>
      <c r="D5" s="28" t="s">
        <v>59</v>
      </c>
      <c r="F5" t="s">
        <v>113</v>
      </c>
      <c r="G5" t="s">
        <v>123</v>
      </c>
      <c r="H5" s="14" t="s">
        <v>46</v>
      </c>
      <c r="I5" s="14" t="s">
        <v>124</v>
      </c>
      <c r="J5"/>
      <c r="K5" s="14" t="s">
        <v>134</v>
      </c>
      <c r="N5" s="36" t="s">
        <v>71</v>
      </c>
      <c r="O5" s="36" t="s">
        <v>72</v>
      </c>
      <c r="P5" s="36" t="s">
        <v>81</v>
      </c>
      <c r="Q5" s="36" t="s">
        <v>82</v>
      </c>
      <c r="R5" s="36" t="s">
        <v>60</v>
      </c>
      <c r="S5" s="42">
        <v>1</v>
      </c>
      <c r="T5" s="36" t="s">
        <v>100</v>
      </c>
    </row>
    <row r="6" spans="1:20">
      <c r="B6" s="14" t="s">
        <v>138</v>
      </c>
      <c r="D6" s="29">
        <f ca="1">YEAR(TODAY())-1911</f>
        <v>111</v>
      </c>
      <c r="F6"/>
      <c r="G6" t="s">
        <v>125</v>
      </c>
      <c r="H6" s="14" t="s">
        <v>47</v>
      </c>
      <c r="J6"/>
      <c r="K6" s="14" t="s">
        <v>136</v>
      </c>
      <c r="N6" s="35" t="s">
        <v>71</v>
      </c>
      <c r="O6" s="35" t="s">
        <v>72</v>
      </c>
      <c r="P6" s="35" t="s">
        <v>81</v>
      </c>
      <c r="Q6" s="35" t="s">
        <v>82</v>
      </c>
      <c r="R6" s="35" t="s">
        <v>61</v>
      </c>
      <c r="S6" s="43">
        <v>2</v>
      </c>
      <c r="T6" s="36" t="s">
        <v>100</v>
      </c>
    </row>
    <row r="7" spans="1:20" ht="32.4">
      <c r="B7" s="14" t="s">
        <v>140</v>
      </c>
      <c r="D7" s="29" t="s">
        <v>45</v>
      </c>
      <c r="F7"/>
      <c r="G7" t="s">
        <v>126</v>
      </c>
      <c r="H7" s="14" t="s">
        <v>48</v>
      </c>
      <c r="J7"/>
      <c r="N7" s="35" t="s">
        <v>71</v>
      </c>
      <c r="O7" s="35" t="s">
        <v>72</v>
      </c>
      <c r="P7" s="35" t="s">
        <v>81</v>
      </c>
      <c r="Q7" s="35" t="s">
        <v>82</v>
      </c>
      <c r="R7" s="35" t="s">
        <v>62</v>
      </c>
      <c r="S7" s="43">
        <v>3</v>
      </c>
      <c r="T7" s="36" t="s">
        <v>100</v>
      </c>
    </row>
    <row r="8" spans="1:20" ht="32.4">
      <c r="A8" s="14" t="s">
        <v>134</v>
      </c>
      <c r="D8" s="29" t="str">
        <f>_xlfn.TEXTJOIN("、",1,作業清單[作業清單])</f>
        <v>通路商付款及入帳作業、委外管理作業管理</v>
      </c>
      <c r="F8"/>
      <c r="G8" t="s">
        <v>127</v>
      </c>
      <c r="J8"/>
      <c r="N8" s="35" t="s">
        <v>71</v>
      </c>
      <c r="O8" s="35" t="s">
        <v>72</v>
      </c>
      <c r="P8" s="35" t="s">
        <v>81</v>
      </c>
      <c r="Q8" s="35" t="s">
        <v>82</v>
      </c>
      <c r="R8" s="35" t="s">
        <v>63</v>
      </c>
      <c r="S8" s="43">
        <v>4</v>
      </c>
      <c r="T8" s="36" t="s">
        <v>100</v>
      </c>
    </row>
    <row r="9" spans="1:20">
      <c r="B9" s="14" t="s">
        <v>107</v>
      </c>
      <c r="D9" s="29" t="s">
        <v>27</v>
      </c>
      <c r="F9"/>
      <c r="G9" t="s">
        <v>128</v>
      </c>
      <c r="J9"/>
      <c r="N9" s="35" t="s">
        <v>71</v>
      </c>
      <c r="O9" s="35" t="s">
        <v>72</v>
      </c>
      <c r="P9" s="35" t="s">
        <v>81</v>
      </c>
      <c r="Q9" s="35" t="s">
        <v>82</v>
      </c>
      <c r="R9" s="35" t="s">
        <v>64</v>
      </c>
      <c r="S9" s="43">
        <v>5</v>
      </c>
      <c r="T9" s="36" t="s">
        <v>100</v>
      </c>
    </row>
    <row r="10" spans="1:20" ht="64.8">
      <c r="B10" s="14" t="s">
        <v>104</v>
      </c>
      <c r="D10" s="27" t="str">
        <f>_xlfn.TEXTJOIN("、",1,引用法規[外部法規])</f>
        <v>「電子支付機構資訊系統標準及安全控管作業基準」、「金融機構提供行動裝置應用程式作業規範」、「金融機構運用新興科技作業規範」</v>
      </c>
      <c r="F10"/>
      <c r="G10" t="s">
        <v>129</v>
      </c>
      <c r="J10"/>
      <c r="N10" s="35" t="s">
        <v>71</v>
      </c>
      <c r="O10" s="35" t="s">
        <v>72</v>
      </c>
      <c r="P10" s="35" t="s">
        <v>81</v>
      </c>
      <c r="Q10" s="35" t="s">
        <v>82</v>
      </c>
      <c r="R10" s="35" t="s">
        <v>65</v>
      </c>
      <c r="S10" s="43">
        <v>6</v>
      </c>
      <c r="T10" s="36" t="s">
        <v>100</v>
      </c>
    </row>
    <row r="11" spans="1:20">
      <c r="B11" s="14" t="s">
        <v>105</v>
      </c>
      <c r="D11" s="29" t="s">
        <v>35</v>
      </c>
      <c r="F11"/>
      <c r="G11" t="s">
        <v>130</v>
      </c>
      <c r="J11"/>
      <c r="N11" s="35" t="s">
        <v>71</v>
      </c>
      <c r="O11" s="35" t="s">
        <v>72</v>
      </c>
      <c r="P11" s="35" t="s">
        <v>81</v>
      </c>
      <c r="Q11" s="35" t="s">
        <v>82</v>
      </c>
      <c r="R11" s="35" t="s">
        <v>66</v>
      </c>
      <c r="S11" s="43">
        <v>7</v>
      </c>
      <c r="T11" s="36" t="s">
        <v>100</v>
      </c>
    </row>
    <row r="12" spans="1:20">
      <c r="B12" s="14" t="s">
        <v>106</v>
      </c>
      <c r="D12" s="29" t="s">
        <v>36</v>
      </c>
      <c r="F12"/>
      <c r="G12" t="s">
        <v>131</v>
      </c>
      <c r="J12"/>
      <c r="N12" s="35" t="s">
        <v>71</v>
      </c>
      <c r="O12" s="35" t="s">
        <v>72</v>
      </c>
      <c r="P12" s="35" t="s">
        <v>81</v>
      </c>
      <c r="Q12" s="35" t="s">
        <v>82</v>
      </c>
      <c r="R12" s="35" t="s">
        <v>67</v>
      </c>
      <c r="S12" s="43">
        <v>8</v>
      </c>
      <c r="T12" s="36" t="s">
        <v>100</v>
      </c>
    </row>
    <row r="13" spans="1:20">
      <c r="B13" s="14" t="s">
        <v>103</v>
      </c>
      <c r="D13" s="27" t="str">
        <f>_xlfn.TEXTJOIN("、",1,引用法規[查核循環])</f>
        <v>「營收及收款循環」</v>
      </c>
      <c r="N13" s="35" t="s">
        <v>71</v>
      </c>
      <c r="O13" s="35" t="s">
        <v>72</v>
      </c>
      <c r="P13" s="35" t="s">
        <v>81</v>
      </c>
      <c r="Q13" s="35" t="s">
        <v>82</v>
      </c>
      <c r="R13" s="35" t="s">
        <v>68</v>
      </c>
      <c r="S13" s="43">
        <v>9</v>
      </c>
      <c r="T13" s="36" t="s">
        <v>100</v>
      </c>
    </row>
    <row r="14" spans="1:20" ht="33" thickBot="1">
      <c r="A14"/>
      <c r="B14"/>
      <c r="D14" s="30" t="s">
        <v>37</v>
      </c>
      <c r="N14" s="35" t="s">
        <v>71</v>
      </c>
      <c r="O14" s="35" t="s">
        <v>72</v>
      </c>
      <c r="P14" s="35" t="s">
        <v>81</v>
      </c>
      <c r="Q14" s="35" t="s">
        <v>82</v>
      </c>
      <c r="R14" s="35" t="s">
        <v>69</v>
      </c>
      <c r="S14" s="43">
        <v>10</v>
      </c>
      <c r="T14" s="36" t="s">
        <v>100</v>
      </c>
    </row>
    <row r="15" spans="1:20">
      <c r="A15"/>
      <c r="B15"/>
      <c r="N15" s="35" t="s">
        <v>71</v>
      </c>
      <c r="O15" s="35" t="s">
        <v>72</v>
      </c>
      <c r="P15" s="35" t="s">
        <v>81</v>
      </c>
      <c r="Q15" s="35" t="s">
        <v>82</v>
      </c>
      <c r="R15" s="35" t="s">
        <v>70</v>
      </c>
      <c r="S15" s="43">
        <v>11</v>
      </c>
      <c r="T15" s="36" t="s">
        <v>100</v>
      </c>
    </row>
    <row r="16" spans="1:20" ht="16.8" thickBot="1">
      <c r="A16"/>
      <c r="B16"/>
      <c r="D16" s="11" t="s">
        <v>50</v>
      </c>
      <c r="N16" s="35" t="s">
        <v>71</v>
      </c>
      <c r="O16" s="35" t="s">
        <v>72</v>
      </c>
      <c r="P16" s="35" t="s">
        <v>81</v>
      </c>
      <c r="Q16" s="35" t="s">
        <v>82</v>
      </c>
      <c r="R16" s="35" t="s">
        <v>83</v>
      </c>
      <c r="S16" s="43">
        <v>12</v>
      </c>
      <c r="T16" s="36" t="s">
        <v>100</v>
      </c>
    </row>
    <row r="17" spans="1:20" ht="178.8" thickBot="1">
      <c r="A17"/>
      <c r="B17"/>
      <c r="D17" s="26" t="str">
        <f ca="1">_xlfn.CONCAT(D5:D14)</f>
        <v xml:space="preserve">    本次查核為辦理本公司111年度稽核計畫中技術部之一般查核，查核項目：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v>
      </c>
      <c r="N17" s="35" t="s">
        <v>71</v>
      </c>
      <c r="O17" s="35" t="s">
        <v>72</v>
      </c>
      <c r="P17" s="35" t="s">
        <v>81</v>
      </c>
      <c r="Q17" s="35" t="s">
        <v>82</v>
      </c>
      <c r="R17" s="35" t="s">
        <v>84</v>
      </c>
      <c r="S17" s="43">
        <v>13</v>
      </c>
      <c r="T17" s="36" t="s">
        <v>100</v>
      </c>
    </row>
    <row r="18" spans="1:20">
      <c r="A18"/>
      <c r="B18"/>
      <c r="N18" s="35" t="s">
        <v>71</v>
      </c>
      <c r="O18" s="35" t="s">
        <v>72</v>
      </c>
      <c r="P18" s="35" t="s">
        <v>81</v>
      </c>
      <c r="Q18" s="35" t="s">
        <v>82</v>
      </c>
      <c r="R18" s="35" t="s">
        <v>85</v>
      </c>
      <c r="S18" s="43">
        <v>14</v>
      </c>
      <c r="T18" s="36" t="s">
        <v>100</v>
      </c>
    </row>
    <row r="19" spans="1:20">
      <c r="A19"/>
      <c r="B19"/>
      <c r="D19" s="11" t="b">
        <v>1</v>
      </c>
      <c r="N19" s="35" t="s">
        <v>71</v>
      </c>
      <c r="O19" s="35" t="s">
        <v>72</v>
      </c>
      <c r="P19" s="35" t="s">
        <v>81</v>
      </c>
      <c r="Q19" s="35" t="s">
        <v>82</v>
      </c>
      <c r="R19" s="35" t="s">
        <v>86</v>
      </c>
      <c r="S19" s="43">
        <v>15</v>
      </c>
      <c r="T19" s="36" t="s">
        <v>100</v>
      </c>
    </row>
    <row r="20" spans="1:20">
      <c r="A20"/>
      <c r="B20"/>
      <c r="D20" s="11" t="b">
        <v>0</v>
      </c>
      <c r="N20" s="35" t="s">
        <v>71</v>
      </c>
      <c r="O20" s="35" t="s">
        <v>72</v>
      </c>
      <c r="P20" s="35" t="s">
        <v>81</v>
      </c>
      <c r="Q20" s="35" t="s">
        <v>82</v>
      </c>
      <c r="R20" s="35" t="s">
        <v>87</v>
      </c>
      <c r="S20" s="43">
        <v>16</v>
      </c>
      <c r="T20" s="36" t="s">
        <v>100</v>
      </c>
    </row>
    <row r="21" spans="1:20">
      <c r="A21"/>
      <c r="B21"/>
      <c r="N21" s="35" t="s">
        <v>71</v>
      </c>
      <c r="O21" s="35" t="s">
        <v>72</v>
      </c>
      <c r="P21" s="35" t="s">
        <v>81</v>
      </c>
      <c r="Q21" s="35" t="s">
        <v>82</v>
      </c>
      <c r="R21" s="35" t="s">
        <v>88</v>
      </c>
      <c r="S21" s="43">
        <v>17</v>
      </c>
      <c r="T21" s="36" t="s">
        <v>100</v>
      </c>
    </row>
    <row r="22" spans="1:20">
      <c r="A22"/>
      <c r="B22"/>
      <c r="D22" s="11" t="s">
        <v>176</v>
      </c>
      <c r="N22" s="35" t="s">
        <v>71</v>
      </c>
      <c r="O22" s="35" t="s">
        <v>72</v>
      </c>
      <c r="P22" s="35" t="s">
        <v>81</v>
      </c>
      <c r="Q22" s="35" t="s">
        <v>82</v>
      </c>
      <c r="R22" s="35" t="s">
        <v>89</v>
      </c>
      <c r="S22" s="43">
        <v>18</v>
      </c>
      <c r="T22" s="36" t="s">
        <v>100</v>
      </c>
    </row>
    <row r="23" spans="1:20">
      <c r="A23"/>
      <c r="B23"/>
      <c r="D23" s="11" t="s">
        <v>58</v>
      </c>
      <c r="N23" s="35" t="s">
        <v>71</v>
      </c>
      <c r="O23" s="35" t="s">
        <v>72</v>
      </c>
      <c r="P23" s="35" t="s">
        <v>81</v>
      </c>
      <c r="Q23" s="35" t="s">
        <v>82</v>
      </c>
      <c r="R23" s="35" t="s">
        <v>90</v>
      </c>
      <c r="S23" s="43">
        <v>19</v>
      </c>
      <c r="T23" s="36" t="s">
        <v>100</v>
      </c>
    </row>
    <row r="24" spans="1:20">
      <c r="A24"/>
      <c r="B24"/>
      <c r="N24" s="35" t="s">
        <v>71</v>
      </c>
      <c r="O24" s="35" t="s">
        <v>72</v>
      </c>
      <c r="P24" s="35" t="s">
        <v>81</v>
      </c>
      <c r="Q24" s="35" t="s">
        <v>82</v>
      </c>
      <c r="R24" s="35" t="s">
        <v>91</v>
      </c>
      <c r="S24" s="43">
        <v>20</v>
      </c>
      <c r="T24" s="36" t="s">
        <v>100</v>
      </c>
    </row>
    <row r="26" spans="1:20" ht="32.4">
      <c r="D26" s="11" t="s">
        <v>8</v>
      </c>
    </row>
    <row r="27" spans="1:20" ht="32.4">
      <c r="D27" s="11" t="s">
        <v>55</v>
      </c>
    </row>
    <row r="30" spans="1:20" ht="16.8" thickBot="1"/>
    <row r="31" spans="1:20" ht="16.8" thickBot="1">
      <c r="D31" s="26" t="s">
        <v>74</v>
      </c>
    </row>
    <row r="32" spans="1:20" ht="409.6">
      <c r="D32" s="11" t="str">
        <f>報告藍本!G3</f>
        <v xml:space="preserve">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「電子支付業務交易訊息整合傳遞服務」委託台新國際商業銀行承辦，訪談得知，近期因原專案負責人離職，該專案尚未完整交接，目前無過去相關資料，且尚未規劃委外廠商查核計畫。
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
經查核「代收金流儲值服務契約書」，以新台幣現金繳納支付款項作業委外由全聯實業股份有限公司代為辦理由訪談得知，近期原專案負責人離職，該專案尚未完整交接，目前無過去相關資料，且尚未規劃委外廠商查核計畫。
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11"/>
  <sheetViews>
    <sheetView workbookViewId="0">
      <selection sqref="A1:B11"/>
    </sheetView>
  </sheetViews>
  <sheetFormatPr defaultRowHeight="34.200000000000003" customHeight="1"/>
  <cols>
    <col min="1" max="1" width="8.88671875" style="16"/>
    <col min="2" max="16384" width="8.88671875" style="15"/>
  </cols>
  <sheetData>
    <row r="1" spans="1:2" s="17" customFormat="1" ht="34.200000000000003" customHeight="1">
      <c r="A1" s="17" t="s">
        <v>23</v>
      </c>
      <c r="B1" s="17" t="s">
        <v>3</v>
      </c>
    </row>
    <row r="2" spans="1:2" ht="34.200000000000003" customHeight="1">
      <c r="A2" s="90" t="s">
        <v>136</v>
      </c>
      <c r="B2" s="15" t="s">
        <v>109</v>
      </c>
    </row>
    <row r="3" spans="1:2" ht="34.200000000000003" customHeight="1">
      <c r="A3" s="90"/>
      <c r="B3" s="15" t="s">
        <v>108</v>
      </c>
    </row>
    <row r="4" spans="1:2" ht="34.200000000000003" customHeight="1">
      <c r="A4" s="90"/>
      <c r="B4" s="15" t="s">
        <v>22</v>
      </c>
    </row>
    <row r="5" spans="1:2" ht="34.200000000000003" customHeight="1">
      <c r="A5" s="90"/>
      <c r="B5" s="15" t="s">
        <v>138</v>
      </c>
    </row>
    <row r="6" spans="1:2" ht="34.200000000000003" customHeight="1">
      <c r="A6" s="90"/>
      <c r="B6" s="15" t="s">
        <v>140</v>
      </c>
    </row>
    <row r="7" spans="1:2" ht="34.200000000000003" customHeight="1">
      <c r="A7" s="90" t="s">
        <v>134</v>
      </c>
      <c r="B7" s="15" t="s">
        <v>107</v>
      </c>
    </row>
    <row r="8" spans="1:2" ht="34.200000000000003" customHeight="1">
      <c r="A8" s="90"/>
      <c r="B8" s="15" t="s">
        <v>104</v>
      </c>
    </row>
    <row r="9" spans="1:2" ht="34.200000000000003" customHeight="1">
      <c r="A9" s="90"/>
      <c r="B9" s="15" t="s">
        <v>105</v>
      </c>
    </row>
    <row r="10" spans="1:2" ht="34.200000000000003" customHeight="1">
      <c r="A10" s="90"/>
      <c r="B10" s="15" t="s">
        <v>106</v>
      </c>
    </row>
    <row r="11" spans="1:2" ht="34.200000000000003" customHeight="1">
      <c r="A11" s="90"/>
      <c r="B11" s="15" t="s">
        <v>103</v>
      </c>
    </row>
  </sheetData>
  <mergeCells count="2">
    <mergeCell ref="A7:A11"/>
    <mergeCell ref="A2:A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rgb="FFFFFF00"/>
  </sheetPr>
  <dimension ref="A1:P21"/>
  <sheetViews>
    <sheetView tabSelected="1" topLeftCell="C9" zoomScaleNormal="100" workbookViewId="0">
      <selection activeCell="E12" sqref="E12"/>
    </sheetView>
  </sheetViews>
  <sheetFormatPr defaultRowHeight="16.2"/>
  <cols>
    <col min="1" max="1" width="22.109375" style="37" customWidth="1"/>
    <col min="2" max="2" width="18.5546875" style="37" customWidth="1"/>
    <col min="3" max="3" width="27.77734375" style="37" customWidth="1"/>
    <col min="4" max="4" width="70" style="37" customWidth="1"/>
    <col min="5" max="5" width="56.109375" style="38" customWidth="1"/>
    <col min="6" max="6" width="16.5546875" customWidth="1"/>
    <col min="7" max="12" width="8.88671875" style="14"/>
    <col min="14" max="14" width="42.77734375" style="77" bestFit="1" customWidth="1"/>
    <col min="15" max="15" width="45.109375" style="77" bestFit="1" customWidth="1"/>
    <col min="16" max="16" width="0" hidden="1" customWidth="1"/>
  </cols>
  <sheetData>
    <row r="1" spans="1:16" s="81" customFormat="1" ht="22.8" thickBot="1">
      <c r="A1" s="79" t="s">
        <v>75</v>
      </c>
      <c r="B1" s="80"/>
      <c r="C1" s="80"/>
      <c r="D1" s="80"/>
      <c r="E1" s="78" t="s">
        <v>98</v>
      </c>
      <c r="G1" s="103" t="s">
        <v>97</v>
      </c>
      <c r="H1" s="104"/>
      <c r="I1" s="104"/>
      <c r="J1" s="104"/>
      <c r="K1" s="104"/>
      <c r="L1" s="105"/>
      <c r="N1" s="106" t="s">
        <v>162</v>
      </c>
      <c r="O1" s="107"/>
    </row>
    <row r="2" spans="1:16" ht="16.8" thickBot="1">
      <c r="A2" s="37" t="s">
        <v>20</v>
      </c>
      <c r="B2" s="37" t="s">
        <v>95</v>
      </c>
      <c r="C2" s="37" t="s">
        <v>21</v>
      </c>
      <c r="D2" s="37" t="s">
        <v>93</v>
      </c>
      <c r="E2" s="38" t="s">
        <v>94</v>
      </c>
      <c r="G2" s="91" t="s">
        <v>96</v>
      </c>
      <c r="H2" s="92"/>
      <c r="I2" s="92"/>
      <c r="J2" s="92"/>
      <c r="K2" s="92"/>
      <c r="L2" s="93"/>
      <c r="N2" s="71" t="s">
        <v>143</v>
      </c>
      <c r="O2" s="72" t="s">
        <v>144</v>
      </c>
      <c r="P2" t="str">
        <f>_xlfn.CONCAT(報告藍本!N2:O2)</f>
        <v>二、  財務狀況：不適用。</v>
      </c>
    </row>
    <row r="3" spans="1:16" ht="45">
      <c r="A3" s="39"/>
      <c r="B3" s="39">
        <v>1</v>
      </c>
      <c r="C3" s="39" t="str">
        <f>工作底稿!B5</f>
        <v>本公司代收以新臺幣繳納儲值款項作業委外之管理，是否符合相關規範辦理。</v>
      </c>
      <c r="D3" s="39">
        <f>工作底稿!F9</f>
        <v>0</v>
      </c>
      <c r="E3" s="40"/>
      <c r="G3" s="94" t="str">
        <f>_xlfn.TEXTJOIN(CHAR(10),1,表格9[報告內容])</f>
        <v xml:space="preserve">依據「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
「電子支付業務交易訊息整合傳遞服務」委託台新國際商業銀行承辦，訪談得知，近期因原專案負責人離職，該專案尚未完整交接，目前無過去相關資料，且尚未規劃委外廠商查核計畫。
依據「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根據訪談，目前尚未執行相關查核作業。
經查核「代收金流儲值服務契約書」，以新台幣現金繳納支付款項作業委外由全聯實業股份有限公司代為辦理由訪談得知，近期原專案負責人離職，該專案尚未完整交接，目前無過去相關資料，且尚未規劃委外廠商查核計畫。
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
</v>
      </c>
      <c r="H3" s="95"/>
      <c r="I3" s="95"/>
      <c r="J3" s="95"/>
      <c r="K3" s="95"/>
      <c r="L3" s="96"/>
      <c r="N3" s="73" t="s">
        <v>145</v>
      </c>
      <c r="O3" s="74" t="s">
        <v>144</v>
      </c>
      <c r="P3" t="str">
        <f>_xlfn.CONCAT(報告藍本!N3:O3)</f>
        <v>三、  經營績效：不適用。</v>
      </c>
    </row>
    <row r="4" spans="1:16" ht="45">
      <c r="A4" s="39"/>
      <c r="B4" s="39">
        <v>2</v>
      </c>
      <c r="C4" s="39" t="str">
        <f>工作底稿!B6</f>
        <v>本公司收付訊息處理作業委外之管理，是否符合相關規範辦理。</v>
      </c>
      <c r="D4" s="39">
        <f>工作底稿!F5</f>
        <v>0</v>
      </c>
      <c r="E4" s="40"/>
      <c r="G4" s="97"/>
      <c r="H4" s="98"/>
      <c r="I4" s="98"/>
      <c r="J4" s="98"/>
      <c r="K4" s="98"/>
      <c r="L4" s="99"/>
      <c r="N4" s="73" t="s">
        <v>146</v>
      </c>
      <c r="O4" s="74" t="s">
        <v>144</v>
      </c>
      <c r="P4" t="str">
        <f>_xlfn.CONCAT(報告藍本!N4:O4)</f>
        <v>四、  資產品質：不適用。</v>
      </c>
    </row>
    <row r="5" spans="1:16" ht="60">
      <c r="A5" s="39"/>
      <c r="B5" s="39">
        <v>3</v>
      </c>
      <c r="C5" s="39" t="str">
        <f>工作底稿!B7</f>
        <v>有關資訊作業委外相關事項是否依據本公司「第三方服務資訊安全管理辦法」之要求據以執行。</v>
      </c>
      <c r="D5" s="39">
        <f>工作底稿!F7</f>
        <v>0</v>
      </c>
      <c r="E5" s="40"/>
      <c r="G5" s="97"/>
      <c r="H5" s="98"/>
      <c r="I5" s="98"/>
      <c r="J5" s="98"/>
      <c r="K5" s="98"/>
      <c r="L5" s="99"/>
      <c r="N5" s="73" t="s">
        <v>147</v>
      </c>
      <c r="O5" s="74" t="s">
        <v>144</v>
      </c>
      <c r="P5" t="str">
        <f>_xlfn.CONCAT(報告藍本!N5:O5)</f>
        <v>五、  董事會議事運作之管理：不適用。</v>
      </c>
    </row>
    <row r="6" spans="1:16" ht="60">
      <c r="A6" s="39"/>
      <c r="B6" s="39">
        <v>4</v>
      </c>
      <c r="C6" s="39" t="str">
        <f>工作底稿!B8</f>
        <v>業務部是否針對該代收以新臺幣繳納儲值款項作業業務至少每半年對受託機構辦理相關檢核作業。</v>
      </c>
      <c r="D6" s="39">
        <f>工作底稿!F6</f>
        <v>0</v>
      </c>
      <c r="E6" s="40"/>
      <c r="G6" s="97"/>
      <c r="H6" s="98"/>
      <c r="I6" s="98"/>
      <c r="J6" s="98"/>
      <c r="K6" s="98"/>
      <c r="L6" s="99"/>
      <c r="N6" s="73" t="s">
        <v>148</v>
      </c>
      <c r="O6" s="74" t="s">
        <v>149</v>
      </c>
      <c r="P6" t="str">
        <f>_xlfn.CONCAT(報告藍本!N6:O6)</f>
        <v>六、  法令遵循：尚符合規定。</v>
      </c>
    </row>
    <row r="7" spans="1:16" ht="45">
      <c r="A7" s="39"/>
      <c r="B7" s="39">
        <v>5</v>
      </c>
      <c r="C7" s="39" t="str">
        <f>工作底稿!B9</f>
        <v>業務部是否針對該收付訊息處理作業委外業務至少每半年對受託機構辦理相關檢核作業。</v>
      </c>
      <c r="D7" s="39">
        <f>工作底稿!F8</f>
        <v>0</v>
      </c>
      <c r="E7" s="40"/>
      <c r="G7" s="97"/>
      <c r="H7" s="98"/>
      <c r="I7" s="98"/>
      <c r="J7" s="98"/>
      <c r="K7" s="98"/>
      <c r="L7" s="99"/>
      <c r="N7" s="73" t="s">
        <v>150</v>
      </c>
      <c r="O7" s="74" t="s">
        <v>149</v>
      </c>
      <c r="P7" t="str">
        <f>_xlfn.CONCAT(報告藍本!N7:O7)</f>
        <v>七、  內部控制：尚符合規定。</v>
      </c>
    </row>
    <row r="8" spans="1:16" ht="174" customHeight="1">
      <c r="A8" s="39"/>
      <c r="B8" s="39">
        <v>6</v>
      </c>
      <c r="C8" s="39" t="str">
        <f>工作底稿!B10</f>
        <v>若有應收帳款因退貨或折讓，是否由業務部開立「應收帳款異動通知申請單」及「客戶退貨申請單」後交由財務部進行帳務處理。</v>
      </c>
      <c r="D8" s="39" t="str">
        <f>工作底稿!F10</f>
        <v>經查核「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v>
      </c>
      <c r="E8" s="40" t="s">
        <v>198</v>
      </c>
      <c r="G8" s="97"/>
      <c r="H8" s="98"/>
      <c r="I8" s="98"/>
      <c r="J8" s="98"/>
      <c r="K8" s="98"/>
      <c r="L8" s="99"/>
      <c r="N8" s="73" t="s">
        <v>151</v>
      </c>
      <c r="O8" s="74" t="s">
        <v>152</v>
      </c>
      <c r="P8" t="str">
        <f>_xlfn.CONCAT(報告藍本!N8:O8)</f>
        <v>八、  各項業務作業控制與內部管理：除下列發現事項外，其餘尚符合相關規定。</v>
      </c>
    </row>
    <row r="9" spans="1:16" ht="95.4" customHeight="1">
      <c r="A9" s="39"/>
      <c r="B9" s="39">
        <v>7</v>
      </c>
      <c r="C9" s="39" t="str">
        <f>工作底稿!B11</f>
        <v>通路商提供之相關憑證內容是否與合約內容相符。</v>
      </c>
      <c r="D9" s="39" t="str">
        <f>工作底稿!F11</f>
        <v>經查核「電子支付業務交易訊息整合傳遞服務與合作機構契約書」，電子支付業務交易訊息整合傳遞服務委外由台新國際商業銀行承辦，由訪談得知，近期因原專案負責人離職，該專案尚未完整交接，目前無過去相關資料，且尚未規劃未來查核計畫。</v>
      </c>
      <c r="E9" s="40" t="s">
        <v>197</v>
      </c>
      <c r="G9" s="97"/>
      <c r="H9" s="98"/>
      <c r="I9" s="98"/>
      <c r="J9" s="98"/>
      <c r="K9" s="98"/>
      <c r="L9" s="99"/>
      <c r="N9" s="73" t="s">
        <v>153</v>
      </c>
      <c r="O9" s="74" t="s">
        <v>144</v>
      </c>
      <c r="P9" t="str">
        <f>_xlfn.CONCAT(報告藍本!N9:O9)</f>
        <v>九、  使用者及特約機構資料保密管理：不適用。</v>
      </c>
    </row>
    <row r="10" spans="1:16" ht="173.4" customHeight="1">
      <c r="A10" s="39"/>
      <c r="B10" s="39">
        <v>8</v>
      </c>
      <c r="C10" s="39" t="str">
        <f>工作底稿!B12</f>
        <v>給付通路商之金額成本認列是否符合相關法規要求。</v>
      </c>
      <c r="D10" s="39" t="str">
        <f>工作底稿!F12</f>
        <v>以新台幣現金繳納支付款項作業，經查核「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具訪談，目前尚未執行相關查核作業。</v>
      </c>
      <c r="E10" s="40" t="s">
        <v>199</v>
      </c>
      <c r="G10" s="97"/>
      <c r="H10" s="98"/>
      <c r="I10" s="98"/>
      <c r="J10" s="98"/>
      <c r="K10" s="98"/>
      <c r="L10" s="99"/>
      <c r="N10" s="73" t="s">
        <v>154</v>
      </c>
      <c r="O10" s="74" t="s">
        <v>152</v>
      </c>
      <c r="P10" t="str">
        <f>_xlfn.CONCAT(報告藍本!N10:O10)</f>
        <v>十、  資訊管理：除下列發現事項外，其餘尚符合相關規定。</v>
      </c>
    </row>
    <row r="11" spans="1:16" ht="75">
      <c r="A11" s="39"/>
      <c r="B11" s="39">
        <v>9</v>
      </c>
      <c r="C11" s="39" t="str">
        <f>工作底稿!B13</f>
        <v>業務部是否提供客戶付款明細供財務部作為沖帳收款之依據。</v>
      </c>
      <c r="D11" s="39" t="str">
        <f>工作底稿!F13</f>
        <v>經查核「代收金流儲值服務契約書」，委外由全聯實業股份有限公司代為辦理由訪談得知，近期原專案負責人離職，該專案尚未完整交接，目前無過去相關資料，且尚未規劃未來查核計畫。</v>
      </c>
      <c r="E11" s="40" t="s">
        <v>200</v>
      </c>
      <c r="G11" s="97"/>
      <c r="H11" s="98"/>
      <c r="I11" s="98"/>
      <c r="J11" s="98"/>
      <c r="K11" s="98"/>
      <c r="L11" s="99"/>
      <c r="N11" s="73" t="s">
        <v>155</v>
      </c>
      <c r="O11" s="74" t="s">
        <v>149</v>
      </c>
      <c r="P11" t="str">
        <f>_xlfn.CONCAT(報告藍本!N11:O11)</f>
        <v>十一、 員工保密教育：尚符合規定。</v>
      </c>
    </row>
    <row r="12" spans="1:16" ht="92.4" customHeight="1">
      <c r="A12" s="39"/>
      <c r="B12" s="39">
        <v>10</v>
      </c>
      <c r="C12" s="39" t="str">
        <f>工作底稿!B14</f>
        <v>與通路商對帳之資訊是否與實際入帳金額一致。</v>
      </c>
      <c r="D12" s="39" t="str">
        <f>工作底稿!F14</f>
        <v>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v>
      </c>
      <c r="E12" s="40" t="s">
        <v>196</v>
      </c>
      <c r="G12" s="97"/>
      <c r="H12" s="98"/>
      <c r="I12" s="98"/>
      <c r="J12" s="98"/>
      <c r="K12" s="98"/>
      <c r="L12" s="99"/>
      <c r="N12" s="73" t="s">
        <v>156</v>
      </c>
      <c r="O12" s="74" t="s">
        <v>144</v>
      </c>
      <c r="P12" t="str">
        <f>_xlfn.CONCAT(報告藍本!N12:O12)</f>
        <v>十二、 金融消費者權益保護措施：不適用。</v>
      </c>
    </row>
    <row r="13" spans="1:16" ht="16.2" customHeight="1">
      <c r="G13" s="97"/>
      <c r="H13" s="98"/>
      <c r="I13" s="98"/>
      <c r="J13" s="98"/>
      <c r="K13" s="98"/>
      <c r="L13" s="99"/>
      <c r="N13" s="73" t="s">
        <v>157</v>
      </c>
      <c r="O13" s="74" t="s">
        <v>158</v>
      </c>
      <c r="P13" t="str">
        <f>_xlfn.CONCAT(報告藍本!N13:O13)</f>
        <v>十三、 自行查核辦理情形：辦理自行查核作業尚符合規定。</v>
      </c>
    </row>
    <row r="14" spans="1:16" ht="15">
      <c r="G14" s="97"/>
      <c r="H14" s="98"/>
      <c r="I14" s="98"/>
      <c r="J14" s="98"/>
      <c r="K14" s="98"/>
      <c r="L14" s="99"/>
      <c r="N14" s="73" t="s">
        <v>159</v>
      </c>
      <c r="O14" s="74" t="s">
        <v>160</v>
      </c>
      <c r="P14" t="str">
        <f>_xlfn.CONCAT(報告藍本!N14:O14)</f>
        <v>十四、 其他說明事項：無。</v>
      </c>
    </row>
    <row r="15" spans="1:16" ht="16.2" customHeight="1">
      <c r="G15" s="97"/>
      <c r="H15" s="98"/>
      <c r="I15" s="98"/>
      <c r="J15" s="98"/>
      <c r="K15" s="98"/>
      <c r="L15" s="99"/>
      <c r="N15" s="73" t="s">
        <v>163</v>
      </c>
      <c r="O15" s="74" t="s">
        <v>144</v>
      </c>
      <c r="P15" t="str">
        <f>_xlfn.CONCAT(報告藍本!N15:O15)</f>
        <v>十二、金融消費者權益保護措施：不適用。</v>
      </c>
    </row>
    <row r="16" spans="1:16" ht="16.2" customHeight="1">
      <c r="G16" s="97"/>
      <c r="H16" s="98"/>
      <c r="I16" s="98"/>
      <c r="J16" s="98"/>
      <c r="K16" s="98"/>
      <c r="L16" s="99"/>
      <c r="N16" s="73" t="s">
        <v>164</v>
      </c>
      <c r="O16" s="74" t="s">
        <v>158</v>
      </c>
      <c r="P16" t="str">
        <f>_xlfn.CONCAT(報告藍本!N16:O16)</f>
        <v>十三、自行查核辦理情形：辦理自行查核作業尚符合規定。</v>
      </c>
    </row>
    <row r="17" spans="7:16" ht="187.8" customHeight="1" thickBot="1">
      <c r="G17" s="100"/>
      <c r="H17" s="101"/>
      <c r="I17" s="101"/>
      <c r="J17" s="101"/>
      <c r="K17" s="101"/>
      <c r="L17" s="102"/>
      <c r="N17" s="73" t="s">
        <v>165</v>
      </c>
      <c r="O17" s="74" t="s">
        <v>160</v>
      </c>
      <c r="P17" t="str">
        <f>_xlfn.CONCAT(報告藍本!N17:O17)</f>
        <v>十四、其他說明事項：無。</v>
      </c>
    </row>
    <row r="18" spans="7:16" ht="68.400000000000006" customHeight="1">
      <c r="N18" s="73"/>
      <c r="O18" s="74"/>
    </row>
    <row r="19" spans="7:16" ht="156.6" customHeight="1" thickBot="1">
      <c r="N19" s="75"/>
      <c r="O19" s="76"/>
    </row>
    <row r="20" spans="7:16" ht="76.8" customHeight="1"/>
    <row r="21" spans="7:16" ht="91.8" customHeight="1"/>
  </sheetData>
  <mergeCells count="4">
    <mergeCell ref="G2:L2"/>
    <mergeCell ref="G3:L17"/>
    <mergeCell ref="G1:L1"/>
    <mergeCell ref="N1:O1"/>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D27"/>
  <sheetViews>
    <sheetView workbookViewId="0">
      <selection activeCell="C8" sqref="C8:C18"/>
    </sheetView>
  </sheetViews>
  <sheetFormatPr defaultColWidth="6.109375" defaultRowHeight="16.2"/>
  <cols>
    <col min="1" max="1" width="11.33203125" style="8" customWidth="1"/>
    <col min="2" max="2" width="85" style="8" customWidth="1"/>
    <col min="3" max="3" width="37.77734375" style="7" customWidth="1"/>
    <col min="4" max="4" width="20.6640625" style="8" bestFit="1" customWidth="1"/>
    <col min="5" max="16384" width="6.109375" style="8"/>
  </cols>
  <sheetData>
    <row r="1" spans="1:4" ht="19.8">
      <c r="A1" s="5" t="s">
        <v>110</v>
      </c>
      <c r="B1" s="5"/>
    </row>
    <row r="2" spans="1:4" ht="19.8">
      <c r="A2" s="5" t="s">
        <v>179</v>
      </c>
      <c r="B2" s="5"/>
    </row>
    <row r="3" spans="1:4" ht="19.8">
      <c r="A3" s="5" t="s">
        <v>180</v>
      </c>
      <c r="B3" s="5"/>
    </row>
    <row r="4" spans="1:4" ht="19.8">
      <c r="A4" s="5" t="s">
        <v>52</v>
      </c>
      <c r="B4" s="5"/>
    </row>
    <row r="5" spans="1:4" ht="19.8">
      <c r="A5" s="5" t="s">
        <v>181</v>
      </c>
      <c r="B5" s="5"/>
    </row>
    <row r="6" spans="1:4" ht="52.2" customHeight="1">
      <c r="A6" s="108" t="s">
        <v>19</v>
      </c>
      <c r="B6" s="108"/>
      <c r="C6" s="108"/>
      <c r="D6" s="108"/>
    </row>
    <row r="7" spans="1:4" s="55" customFormat="1" ht="15" customHeight="1">
      <c r="A7" s="111" t="s">
        <v>18</v>
      </c>
      <c r="B7" s="112"/>
      <c r="C7" s="112"/>
      <c r="D7" s="109" t="s">
        <v>6</v>
      </c>
    </row>
    <row r="8" spans="1:4" s="55" customFormat="1">
      <c r="A8" s="17" t="s">
        <v>23</v>
      </c>
      <c r="B8" s="53" t="s">
        <v>3</v>
      </c>
      <c r="C8" s="82" t="s">
        <v>175</v>
      </c>
      <c r="D8" s="110"/>
    </row>
    <row r="9" spans="1:4" ht="48.6" customHeight="1">
      <c r="A9" s="90" t="s">
        <v>136</v>
      </c>
      <c r="B9" s="56" t="s">
        <v>109</v>
      </c>
      <c r="C9" s="18"/>
      <c r="D9" s="83"/>
    </row>
    <row r="10" spans="1:4" ht="48.6" customHeight="1">
      <c r="A10" s="90"/>
      <c r="B10" s="56" t="s">
        <v>108</v>
      </c>
      <c r="C10" s="18"/>
      <c r="D10" s="83"/>
    </row>
    <row r="11" spans="1:4" ht="48.6" customHeight="1">
      <c r="A11" s="90"/>
      <c r="B11" s="56" t="s">
        <v>22</v>
      </c>
      <c r="C11" s="18"/>
      <c r="D11" s="83"/>
    </row>
    <row r="12" spans="1:4" ht="48.6" customHeight="1">
      <c r="A12" s="90"/>
      <c r="B12" s="56" t="s">
        <v>138</v>
      </c>
      <c r="C12" s="18"/>
      <c r="D12" s="83"/>
    </row>
    <row r="13" spans="1:4" ht="46.8" customHeight="1">
      <c r="A13" s="90"/>
      <c r="B13" s="56" t="s">
        <v>140</v>
      </c>
      <c r="C13" s="18"/>
      <c r="D13" s="83"/>
    </row>
    <row r="14" spans="1:4" ht="46.8" customHeight="1">
      <c r="A14" s="90" t="s">
        <v>134</v>
      </c>
      <c r="B14" s="56" t="s">
        <v>107</v>
      </c>
      <c r="C14" s="18"/>
      <c r="D14" s="83"/>
    </row>
    <row r="15" spans="1:4" ht="46.8" customHeight="1">
      <c r="A15" s="90"/>
      <c r="B15" s="56" t="s">
        <v>104</v>
      </c>
      <c r="C15" s="18"/>
      <c r="D15" s="83"/>
    </row>
    <row r="16" spans="1:4" ht="46.8" customHeight="1">
      <c r="A16" s="90"/>
      <c r="B16" s="56" t="s">
        <v>105</v>
      </c>
      <c r="C16" s="18"/>
      <c r="D16" s="83"/>
    </row>
    <row r="17" spans="1:4" ht="46.8" customHeight="1">
      <c r="A17" s="90"/>
      <c r="B17" s="56" t="s">
        <v>106</v>
      </c>
      <c r="C17" s="18"/>
      <c r="D17" s="83"/>
    </row>
    <row r="18" spans="1:4" ht="48.6" customHeight="1">
      <c r="A18" s="90"/>
      <c r="B18" s="56" t="s">
        <v>103</v>
      </c>
      <c r="C18" s="18"/>
      <c r="D18" s="83"/>
    </row>
    <row r="19" spans="1:4" ht="48.6" customHeight="1">
      <c r="D19" s="83"/>
    </row>
    <row r="20" spans="1:4" ht="48.6" customHeight="1">
      <c r="D20" s="83"/>
    </row>
    <row r="21" spans="1:4" ht="48.6" customHeight="1">
      <c r="D21" s="83"/>
    </row>
    <row r="22" spans="1:4" ht="48.6" customHeight="1">
      <c r="D22" s="83"/>
    </row>
    <row r="23" spans="1:4" ht="47.4" customHeight="1">
      <c r="D23" s="83"/>
    </row>
    <row r="24" spans="1:4" ht="47.4" customHeight="1">
      <c r="D24" s="83"/>
    </row>
    <row r="25" spans="1:4" ht="47.4" customHeight="1">
      <c r="D25" s="83"/>
    </row>
    <row r="26" spans="1:4" ht="47.4" customHeight="1">
      <c r="D26" s="83"/>
    </row>
    <row r="27" spans="1:4" ht="34.799999999999997" customHeight="1">
      <c r="D27" s="83"/>
    </row>
  </sheetData>
  <mergeCells count="5">
    <mergeCell ref="A6:D6"/>
    <mergeCell ref="D7:D8"/>
    <mergeCell ref="A7:C7"/>
    <mergeCell ref="A9:A13"/>
    <mergeCell ref="A14:A18"/>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3"/>
  <sheetViews>
    <sheetView workbookViewId="0">
      <selection activeCell="C5" sqref="C5:G14"/>
    </sheetView>
  </sheetViews>
  <sheetFormatPr defaultRowHeight="16.2"/>
  <cols>
    <col min="1" max="1" width="11.88671875" style="11" customWidth="1"/>
    <col min="2" max="2" width="66.21875" style="11" customWidth="1"/>
    <col min="3" max="3" width="9.44140625" bestFit="1" customWidth="1"/>
    <col min="4" max="4" width="7"/>
    <col min="5" max="5" width="29.33203125" customWidth="1"/>
    <col min="6" max="6" width="47.77734375" style="6" customWidth="1"/>
    <col min="7" max="7" width="18.109375" customWidth="1"/>
  </cols>
  <sheetData>
    <row r="1" spans="1:7" ht="22.2" customHeight="1">
      <c r="A1" s="10"/>
      <c r="B1" s="10"/>
      <c r="C1" s="1" t="s">
        <v>180</v>
      </c>
      <c r="D1" s="1"/>
      <c r="E1" s="1"/>
      <c r="F1" s="10" t="s">
        <v>54</v>
      </c>
    </row>
    <row r="2" spans="1:7" ht="22.2" customHeight="1">
      <c r="A2" s="10"/>
      <c r="B2" s="10"/>
      <c r="C2" s="1" t="s">
        <v>179</v>
      </c>
      <c r="D2" s="1"/>
      <c r="E2" s="1"/>
      <c r="F2" s="10" t="s">
        <v>52</v>
      </c>
      <c r="G2" s="1"/>
    </row>
    <row r="3" spans="1:7" ht="18" customHeight="1">
      <c r="A3" s="12"/>
      <c r="B3" s="12"/>
      <c r="C3" s="115" t="s">
        <v>4</v>
      </c>
      <c r="D3" s="115"/>
      <c r="E3" s="115"/>
      <c r="F3" s="113" t="s">
        <v>6</v>
      </c>
      <c r="G3" s="113" t="s">
        <v>0</v>
      </c>
    </row>
    <row r="4" spans="1:7" ht="35.4" customHeight="1">
      <c r="A4" s="17" t="s">
        <v>23</v>
      </c>
      <c r="B4" s="17" t="s">
        <v>3</v>
      </c>
      <c r="C4" s="58" t="s">
        <v>1</v>
      </c>
      <c r="D4" s="58" t="s">
        <v>2</v>
      </c>
      <c r="E4" s="58" t="s">
        <v>5</v>
      </c>
      <c r="F4" s="114"/>
      <c r="G4" s="114"/>
    </row>
    <row r="5" spans="1:7" ht="48" customHeight="1">
      <c r="A5" s="90" t="s">
        <v>136</v>
      </c>
      <c r="B5" s="56" t="s">
        <v>109</v>
      </c>
      <c r="C5" s="19"/>
      <c r="D5" s="20"/>
      <c r="E5" s="21"/>
      <c r="F5" s="19" cm="1">
        <f t="array" ref="F5:F14">表格2[實際執行事項說明]</f>
        <v>0</v>
      </c>
      <c r="G5" s="2"/>
    </row>
    <row r="6" spans="1:7" ht="48" customHeight="1">
      <c r="A6" s="90"/>
      <c r="B6" s="56" t="s">
        <v>108</v>
      </c>
      <c r="C6" s="19"/>
      <c r="D6" s="20"/>
      <c r="E6" s="21"/>
      <c r="F6" s="19">
        <v>0</v>
      </c>
      <c r="G6" s="2"/>
    </row>
    <row r="7" spans="1:7" ht="48" customHeight="1">
      <c r="A7" s="90"/>
      <c r="B7" s="56" t="s">
        <v>22</v>
      </c>
      <c r="C7" s="19"/>
      <c r="D7" s="20"/>
      <c r="E7" s="21"/>
      <c r="F7" s="19">
        <v>0</v>
      </c>
      <c r="G7" s="2"/>
    </row>
    <row r="8" spans="1:7" ht="48" customHeight="1">
      <c r="A8" s="90"/>
      <c r="B8" s="56" t="s">
        <v>138</v>
      </c>
      <c r="C8" s="19"/>
      <c r="D8" s="20"/>
      <c r="E8" s="21"/>
      <c r="F8" s="19">
        <v>0</v>
      </c>
      <c r="G8" s="2"/>
    </row>
    <row r="9" spans="1:7" ht="57" customHeight="1">
      <c r="A9" s="90"/>
      <c r="B9" s="56" t="s">
        <v>140</v>
      </c>
      <c r="C9" s="19"/>
      <c r="D9" s="19"/>
      <c r="E9" s="19"/>
      <c r="F9" s="19">
        <v>0</v>
      </c>
      <c r="G9" s="2"/>
    </row>
    <row r="10" spans="1:7" ht="57" customHeight="1">
      <c r="A10" s="90" t="s">
        <v>134</v>
      </c>
      <c r="B10" s="56" t="s">
        <v>107</v>
      </c>
      <c r="C10" s="19"/>
      <c r="D10" s="19"/>
      <c r="E10" s="19"/>
      <c r="F10" s="19" t="str">
        <v>經查核「電子支付業務交易訊息整合傳遞服務與合作機構契約書」，第三條第六項「甲方應整合及確保本服務正常運作，包含進行本服務（含軟、硬體）之安裝測試、維護、訓練等作業，並依前項安控標準確保交易資訊之隱密性、安全性、資料傳遞、交易或處理之正確性。」，並依「第三方服務資訊安全管理辦法」第四條第一項第四款第三目「第三方服務如為長期服務提供，如軟硬體維護合約、系統委外管理…等，第三方應依合約及工作說明書要求，定期提交服務水準報告與資訊安全稽核報告，交由承辦第三方服務的人員審核備查。」，而經訪談專案負責人，目前並未執行相關查核作業。</v>
      </c>
      <c r="G10" s="2"/>
    </row>
    <row r="11" spans="1:7" ht="57" customHeight="1">
      <c r="A11" s="90"/>
      <c r="B11" s="56" t="s">
        <v>104</v>
      </c>
      <c r="C11" s="19"/>
      <c r="D11" s="19"/>
      <c r="E11" s="19"/>
      <c r="F11" s="19" t="str">
        <v>經查核「電子支付業務交易訊息整合傳遞服務與合作機構契約書」，電子支付業務交易訊息整合傳遞服務委外由台新國際商業銀行承辦，由訪談得知，近期因原專案負責人離職，該專案尚未完整交接，目前無過去相關資料，且尚未規劃未來查核計畫。</v>
      </c>
      <c r="G11" s="2"/>
    </row>
    <row r="12" spans="1:7" ht="57" customHeight="1">
      <c r="A12" s="90"/>
      <c r="B12" s="56" t="s">
        <v>105</v>
      </c>
      <c r="C12" s="52"/>
      <c r="D12" s="52"/>
      <c r="E12" s="52"/>
      <c r="F12" s="86" t="str">
        <v>以新台幣現金繳納支付款項作業，經查核「代收金流儲值服務契約書」第六條第六項「甲方對乙方有進行定期審查之權利，定期執行實地查核，確認乙方及其人員無法藉由繳款資料取得或辨識使用者之身分證字號、帳號及其他相關個人資料，以避免使用者資料外洩，並評估其是否符合各項相關規定或由乙方提出定期稽核報告供甲方評估內控落實情形。」，另依「個人資料保護管理辦法」第五條第十二項第二款第一目「為釐清本公司與其委外廠商之責任歸屬，本公司將對委外廠商採取適當之監督，以確保委託處理個人資料之安全管理。」，具訪談，目前尚未執行相關查核作業。</v>
      </c>
      <c r="G12" s="52"/>
    </row>
    <row r="13" spans="1:7" ht="57" customHeight="1">
      <c r="A13" s="90"/>
      <c r="B13" s="56" t="s">
        <v>106</v>
      </c>
      <c r="C13" s="52"/>
      <c r="D13" s="52"/>
      <c r="E13" s="52"/>
      <c r="F13" s="86" t="str">
        <v>經查核「代收金流儲值服務契約書」，委外由全聯實業股份有限公司代為辦理由訪談得知，近期原專案負責人離職，該專案尚未完整交接，目前無過去相關資料，且尚未規劃未來查核計畫。</v>
      </c>
      <c r="G13" s="52"/>
    </row>
    <row r="14" spans="1:7" ht="49.8" customHeight="1">
      <c r="A14" s="90"/>
      <c r="B14" s="56" t="s">
        <v>103</v>
      </c>
      <c r="C14" s="52"/>
      <c r="D14" s="52"/>
      <c r="E14" s="52"/>
      <c r="F14" s="86" t="str">
        <v>依「第三方服務資訊安全管理辦法」第三條第三項第二款「應負責監督委外廠商對於相關資訊安全管控要求的落實與遵守，若委外廠商或其人員，違反或未遵守時，應向委外廠商提出警示。」，本次查核包含「電子支付業務交易訊息整合傳遞服務」及「代收金流儲值服務」未依前列之作業辦法執行。</v>
      </c>
      <c r="G14" s="52"/>
    </row>
    <row r="15" spans="1:7" ht="49.8" customHeight="1">
      <c r="C15" s="87"/>
      <c r="D15" s="87"/>
      <c r="E15" s="87"/>
      <c r="F15" s="88"/>
      <c r="G15" s="87"/>
    </row>
    <row r="16" spans="1:7" ht="49.8" customHeight="1">
      <c r="C16" s="52"/>
      <c r="D16" s="52"/>
      <c r="E16" s="52"/>
      <c r="F16" s="86"/>
      <c r="G16" s="52"/>
    </row>
    <row r="17" spans="3:7" ht="49.8" customHeight="1">
      <c r="C17" s="52"/>
      <c r="D17" s="52"/>
      <c r="E17" s="52"/>
      <c r="F17" s="86"/>
      <c r="G17" s="52"/>
    </row>
    <row r="18" spans="3:7" ht="49.8" customHeight="1">
      <c r="C18" s="52"/>
      <c r="D18" s="52"/>
      <c r="E18" s="52"/>
      <c r="F18" s="86"/>
      <c r="G18" s="52"/>
    </row>
    <row r="19" spans="3:7" ht="196.2" customHeight="1">
      <c r="C19" s="52"/>
      <c r="D19" s="52"/>
      <c r="E19" s="52"/>
      <c r="F19" s="86"/>
      <c r="G19" s="52"/>
    </row>
    <row r="20" spans="3:7">
      <c r="C20" s="52"/>
      <c r="D20" s="52"/>
      <c r="E20" s="52"/>
      <c r="F20" s="86"/>
      <c r="G20" s="52"/>
    </row>
    <row r="21" spans="3:7">
      <c r="C21" s="52"/>
      <c r="D21" s="52"/>
      <c r="E21" s="52"/>
      <c r="F21" s="86"/>
      <c r="G21" s="52"/>
    </row>
    <row r="22" spans="3:7">
      <c r="C22" s="52"/>
      <c r="D22" s="52"/>
      <c r="E22" s="52"/>
      <c r="F22" s="86"/>
      <c r="G22" s="52"/>
    </row>
    <row r="23" spans="3:7">
      <c r="C23" s="52"/>
      <c r="D23" s="52"/>
      <c r="E23" s="52"/>
      <c r="F23" s="86"/>
      <c r="G23" s="52"/>
    </row>
  </sheetData>
  <mergeCells count="5">
    <mergeCell ref="G3:G4"/>
    <mergeCell ref="C3:E3"/>
    <mergeCell ref="F3:F4"/>
    <mergeCell ref="A5:A9"/>
    <mergeCell ref="A10:A14"/>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view="pageBreakPreview" topLeftCell="A3" zoomScale="40" zoomScaleNormal="55" zoomScaleSheetLayoutView="40" zoomScalePageLayoutView="55" workbookViewId="0">
      <selection activeCell="B18" sqref="B18:D32"/>
    </sheetView>
  </sheetViews>
  <sheetFormatPr defaultColWidth="108" defaultRowHeight="15"/>
  <cols>
    <col min="1" max="1" width="3.33203125" style="47" customWidth="1"/>
    <col min="2" max="2" width="14.21875" style="47" customWidth="1"/>
    <col min="3" max="3" width="108" style="47"/>
    <col min="4" max="4" width="142.33203125" style="47" customWidth="1"/>
    <col min="5" max="5" width="3.33203125" style="47" customWidth="1"/>
    <col min="6" max="16384" width="108" style="47"/>
  </cols>
  <sheetData>
    <row r="1" spans="2:4" ht="109.95" customHeight="1"/>
    <row r="2" spans="2:4" ht="235.8" customHeight="1">
      <c r="B2" s="123" t="s">
        <v>57</v>
      </c>
      <c r="C2" s="123"/>
      <c r="D2" s="123"/>
    </row>
    <row r="3" spans="2:4" ht="331.2" customHeight="1">
      <c r="B3" s="124" t="s">
        <v>176</v>
      </c>
      <c r="C3" s="124"/>
      <c r="D3" s="124"/>
    </row>
    <row r="4" spans="2:4" ht="28.2">
      <c r="B4" s="125" t="s">
        <v>180</v>
      </c>
      <c r="C4" s="125"/>
      <c r="D4" s="45"/>
    </row>
    <row r="5" spans="2:4" ht="28.2">
      <c r="B5" s="125" t="s">
        <v>182</v>
      </c>
      <c r="C5" s="125"/>
      <c r="D5" s="45"/>
    </row>
    <row r="6" spans="2:4" ht="28.2">
      <c r="B6" s="125" t="s">
        <v>54</v>
      </c>
      <c r="C6" s="125"/>
      <c r="D6" s="45"/>
    </row>
    <row r="7" spans="2:4" ht="28.8" customHeight="1" thickBot="1">
      <c r="B7" s="131" t="s">
        <v>52</v>
      </c>
      <c r="C7" s="131"/>
      <c r="D7" s="48"/>
    </row>
    <row r="8" spans="2:4" ht="28.8" thickTop="1">
      <c r="C8" s="46" t="s">
        <v>7</v>
      </c>
      <c r="D8" s="46"/>
    </row>
    <row r="9" spans="2:4" ht="28.2">
      <c r="C9" s="126" t="s">
        <v>183</v>
      </c>
      <c r="D9" s="126"/>
    </row>
    <row r="10" spans="2:4" ht="28.2">
      <c r="C10" s="126" t="s">
        <v>101</v>
      </c>
      <c r="D10" s="126"/>
    </row>
    <row r="11" spans="2:4" ht="25.8" customHeight="1" thickBot="1">
      <c r="C11" s="51"/>
      <c r="D11" s="51"/>
    </row>
    <row r="12" spans="2:4" s="46" customFormat="1" ht="28.2">
      <c r="B12" s="132" t="s">
        <v>111</v>
      </c>
      <c r="C12" s="133"/>
      <c r="D12" s="134"/>
    </row>
    <row r="13" spans="2:4" s="46" customFormat="1" ht="28.8" thickBot="1">
      <c r="B13" s="135" t="s">
        <v>53</v>
      </c>
      <c r="C13" s="136"/>
      <c r="D13" s="137"/>
    </row>
    <row r="14" spans="2:4" s="46" customFormat="1" ht="28.8" customHeight="1" thickBot="1">
      <c r="B14" s="138" t="s">
        <v>110</v>
      </c>
      <c r="C14" s="139"/>
      <c r="D14" s="49" t="s">
        <v>179</v>
      </c>
    </row>
    <row r="15" spans="2:4" s="46" customFormat="1" ht="28.8" thickBot="1">
      <c r="B15" s="135" t="s">
        <v>161</v>
      </c>
      <c r="C15" s="136"/>
      <c r="D15" s="137"/>
    </row>
    <row r="16" spans="2:4" s="46" customFormat="1" ht="28.2">
      <c r="B16" s="120" t="s">
        <v>166</v>
      </c>
      <c r="C16" s="121"/>
      <c r="D16" s="122"/>
    </row>
    <row r="17" spans="2:5" s="46" customFormat="1" ht="88.8" customHeight="1">
      <c r="B17" s="119" t="s">
        <v>184</v>
      </c>
      <c r="C17" s="125"/>
      <c r="D17" s="140"/>
      <c r="E17" s="45"/>
    </row>
    <row r="18" spans="2:5" s="46" customFormat="1" ht="409.2" customHeight="1">
      <c r="B18" s="119" t="s">
        <v>195</v>
      </c>
      <c r="C18" s="125"/>
      <c r="D18" s="140"/>
      <c r="E18" s="45"/>
    </row>
    <row r="19" spans="2:5" s="46" customFormat="1" ht="43.8" customHeight="1">
      <c r="B19" s="119"/>
      <c r="C19" s="125"/>
      <c r="D19" s="140"/>
    </row>
    <row r="20" spans="2:5" s="46" customFormat="1" ht="28.2">
      <c r="B20" s="116" t="s">
        <v>185</v>
      </c>
      <c r="C20" s="117"/>
      <c r="D20" s="118"/>
    </row>
    <row r="21" spans="2:5" s="46" customFormat="1" ht="28.2">
      <c r="B21" s="116" t="s">
        <v>186</v>
      </c>
      <c r="C21" s="117"/>
      <c r="D21" s="118"/>
    </row>
    <row r="22" spans="2:5" s="46" customFormat="1" ht="28.2">
      <c r="B22" s="116" t="s">
        <v>187</v>
      </c>
      <c r="C22" s="117"/>
      <c r="D22" s="118"/>
    </row>
    <row r="23" spans="2:5" s="46" customFormat="1" ht="28.2">
      <c r="B23" s="116" t="s">
        <v>167</v>
      </c>
      <c r="C23" s="117"/>
      <c r="D23" s="118"/>
    </row>
    <row r="24" spans="2:5" s="46" customFormat="1" ht="28.2">
      <c r="B24" s="116" t="s">
        <v>168</v>
      </c>
      <c r="C24" s="117"/>
      <c r="D24" s="118"/>
    </row>
    <row r="25" spans="2:5" s="46" customFormat="1" ht="28.2">
      <c r="B25" s="116" t="s">
        <v>169</v>
      </c>
      <c r="C25" s="117"/>
      <c r="D25" s="118"/>
    </row>
    <row r="26" spans="2:5" s="46" customFormat="1" ht="28.2" customHeight="1">
      <c r="B26" s="119" t="s">
        <v>188</v>
      </c>
      <c r="C26" s="117"/>
      <c r="D26" s="118"/>
    </row>
    <row r="27" spans="2:5" s="46" customFormat="1" ht="28.2">
      <c r="B27" s="116" t="s">
        <v>170</v>
      </c>
      <c r="C27" s="117"/>
      <c r="D27" s="118"/>
    </row>
    <row r="28" spans="2:5" s="46" customFormat="1" ht="28.2">
      <c r="B28" s="116" t="s">
        <v>171</v>
      </c>
      <c r="C28" s="117"/>
      <c r="D28" s="118"/>
    </row>
    <row r="29" spans="2:5" s="46" customFormat="1" ht="28.2">
      <c r="B29" s="116" t="s">
        <v>172</v>
      </c>
      <c r="C29" s="117"/>
      <c r="D29" s="118"/>
    </row>
    <row r="30" spans="2:5" s="46" customFormat="1" ht="28.2">
      <c r="B30" s="116" t="s">
        <v>173</v>
      </c>
      <c r="C30" s="117"/>
      <c r="D30" s="118"/>
    </row>
    <row r="31" spans="2:5" s="46" customFormat="1" ht="28.2">
      <c r="B31" s="116" t="s">
        <v>189</v>
      </c>
      <c r="C31" s="117"/>
      <c r="D31" s="118"/>
    </row>
    <row r="32" spans="2:5" s="46" customFormat="1" ht="28.2">
      <c r="B32" s="116" t="s">
        <v>174</v>
      </c>
      <c r="C32" s="117"/>
      <c r="D32" s="118"/>
    </row>
    <row r="33" spans="2:4" s="46" customFormat="1" ht="28.8" thickBot="1">
      <c r="B33" s="127" t="s">
        <v>102</v>
      </c>
      <c r="C33" s="128"/>
      <c r="D33" s="129"/>
    </row>
    <row r="34" spans="2:4" s="46" customFormat="1" ht="28.2">
      <c r="B34" s="130" t="s">
        <v>15</v>
      </c>
      <c r="C34" s="130"/>
      <c r="D34" s="46" t="s">
        <v>16</v>
      </c>
    </row>
    <row r="35" spans="2:4" ht="2.5499999999999998" customHeight="1">
      <c r="C35" s="50"/>
      <c r="D35" s="50"/>
    </row>
  </sheetData>
  <mergeCells count="30">
    <mergeCell ref="B33:D33"/>
    <mergeCell ref="B34:C34"/>
    <mergeCell ref="B7:C7"/>
    <mergeCell ref="B5:C5"/>
    <mergeCell ref="B6:C6"/>
    <mergeCell ref="B12:D12"/>
    <mergeCell ref="B13:D13"/>
    <mergeCell ref="B14:C14"/>
    <mergeCell ref="B15:D15"/>
    <mergeCell ref="B18:D19"/>
    <mergeCell ref="B17:D17"/>
    <mergeCell ref="B27:D27"/>
    <mergeCell ref="B20:D20"/>
    <mergeCell ref="B21:D21"/>
    <mergeCell ref="B32:D32"/>
    <mergeCell ref="B22:D22"/>
    <mergeCell ref="B16:D16"/>
    <mergeCell ref="B2:D2"/>
    <mergeCell ref="B3:D3"/>
    <mergeCell ref="B4:C4"/>
    <mergeCell ref="C9:D9"/>
    <mergeCell ref="C10:D10"/>
    <mergeCell ref="B28:D28"/>
    <mergeCell ref="B29:D29"/>
    <mergeCell ref="B30:D30"/>
    <mergeCell ref="B31:D31"/>
    <mergeCell ref="B23:D23"/>
    <mergeCell ref="B24:D24"/>
    <mergeCell ref="B25:D25"/>
    <mergeCell ref="B26:D26"/>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2022-11-07T09:42:33Z</dcterms:modified>
</cp:coreProperties>
</file>